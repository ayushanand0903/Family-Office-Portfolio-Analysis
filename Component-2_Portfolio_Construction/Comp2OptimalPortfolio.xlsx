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damental Analysis Template" sheetId="1" r:id="rId4"/>
    <sheet state="visible" name="Component 3" sheetId="2" r:id="rId5"/>
    <sheet state="visible" name="Optimal Portfolio allocation" sheetId="3" r:id="rId6"/>
    <sheet state="visible" name="Portfolio" sheetId="4" r:id="rId7"/>
    <sheet state="visible" name="Reference" sheetId="5" r:id="rId8"/>
  </sheets>
  <definedNames/>
  <calcPr/>
</workbook>
</file>

<file path=xl/sharedStrings.xml><?xml version="1.0" encoding="utf-8"?>
<sst xmlns="http://schemas.openxmlformats.org/spreadsheetml/2006/main" count="513" uniqueCount="157">
  <si>
    <t>Fundamental Analysis</t>
  </si>
  <si>
    <t>Mandatory</t>
  </si>
  <si>
    <t>Optional</t>
  </si>
  <si>
    <t>Component 2</t>
  </si>
  <si>
    <t>Earnings per Share</t>
  </si>
  <si>
    <t>Year 1</t>
  </si>
  <si>
    <t>Year 2</t>
  </si>
  <si>
    <t>Year 3</t>
  </si>
  <si>
    <t>Year 4</t>
  </si>
  <si>
    <t>Year 5</t>
  </si>
  <si>
    <t>Particulars</t>
  </si>
  <si>
    <t>a</t>
  </si>
  <si>
    <t>ONGC</t>
  </si>
  <si>
    <t>b</t>
  </si>
  <si>
    <t>Price to Sales Ratio (P/S)</t>
  </si>
  <si>
    <t>NTPC</t>
  </si>
  <si>
    <t>c</t>
  </si>
  <si>
    <t>Price to Earnings Ratio (P/E)</t>
  </si>
  <si>
    <t>Tata Steel</t>
  </si>
  <si>
    <t>d</t>
  </si>
  <si>
    <t>Profitability Ratios - gross, net and operating</t>
  </si>
  <si>
    <t>Bharat Electronics</t>
  </si>
  <si>
    <t>e</t>
  </si>
  <si>
    <t>Liquidity Ratios - current, quick ratio</t>
  </si>
  <si>
    <t>Hindustan Unilever Limited</t>
  </si>
  <si>
    <t>f</t>
  </si>
  <si>
    <t>Solvency Ratios - debt-equity, interest coverage</t>
  </si>
  <si>
    <t>g</t>
  </si>
  <si>
    <t>Growth Trends Analysis - 3 years sales and net profit</t>
  </si>
  <si>
    <t>h</t>
  </si>
  <si>
    <t>Return on Investment</t>
  </si>
  <si>
    <t>Technical Analysis</t>
  </si>
  <si>
    <t>RSI (Relative Strength Index)</t>
  </si>
  <si>
    <t>Trendlines</t>
  </si>
  <si>
    <t>Suggestions:</t>
  </si>
  <si>
    <t xml:space="preserve">1. ONGC- </t>
  </si>
  <si>
    <r>
      <rPr>
        <rFont val="Lexend Deca"/>
        <b/>
        <color rgb="FFFF00FF"/>
      </rPr>
      <t>Hold ONGC</t>
    </r>
    <r>
      <rPr>
        <rFont val="Lexend Deca"/>
        <color rgb="FFFF00FF"/>
      </rPr>
      <t xml:space="preserve"> </t>
    </r>
    <r>
      <rPr>
        <rFont val="Lexend Deca"/>
        <color theme="1"/>
      </rPr>
      <t>for</t>
    </r>
    <r>
      <rPr>
        <rFont val="Lexend Deca"/>
        <b/>
        <color theme="1"/>
      </rPr>
      <t xml:space="preserve"> steady dividends</t>
    </r>
    <r>
      <rPr>
        <rFont val="Lexend Deca"/>
        <color theme="1"/>
      </rPr>
      <t xml:space="preserve"> and value investing. </t>
    </r>
    <r>
      <rPr>
        <rFont val="Lexend Deca"/>
        <b/>
        <color theme="1"/>
      </rPr>
      <t>P/E Ratio of 8.32</t>
    </r>
    <r>
      <rPr>
        <rFont val="Lexend Deca"/>
        <color theme="1"/>
      </rPr>
      <t xml:space="preserve"> is low compared to industry standards, meaning the stock is cheap relative to earnings. If it drops </t>
    </r>
    <r>
      <rPr>
        <rFont val="Lexend Deca"/>
        <b/>
        <color theme="1"/>
      </rPr>
      <t>below RSI 35, consider adding more.</t>
    </r>
  </si>
  <si>
    <t>2. NTPC-</t>
  </si>
  <si>
    <r>
      <rPr>
        <rFont val="Lexend Deca"/>
        <b/>
        <color rgb="FFFF00FF"/>
      </rPr>
      <t xml:space="preserve">Drop ONGC. </t>
    </r>
    <r>
      <rPr>
        <rFont val="Lexend Deca"/>
        <b/>
        <color theme="1"/>
      </rPr>
      <t>RSI: 63.01 --</t>
    </r>
    <r>
      <rPr>
        <rFont val="Lexend Deca"/>
        <color theme="1"/>
      </rPr>
      <t xml:space="preserve"> The stock is nearing overbought territory. Debt-to-Equity </t>
    </r>
    <r>
      <rPr>
        <rFont val="Lexend Deca"/>
        <b/>
        <color theme="1"/>
      </rPr>
      <t>(D/E)</t>
    </r>
    <r>
      <rPr>
        <rFont val="Lexend Deca"/>
        <color theme="1"/>
      </rPr>
      <t xml:space="preserve"> Ratio: </t>
    </r>
    <r>
      <rPr>
        <rFont val="Lexend Deca"/>
        <b/>
        <color theme="1"/>
      </rPr>
      <t xml:space="preserve">1.24 (2024) -- Very high </t>
    </r>
    <r>
      <rPr>
        <rFont val="Lexend Deca"/>
        <color theme="1"/>
      </rPr>
      <t xml:space="preserve">compared to other stable stocks. </t>
    </r>
    <r>
      <rPr>
        <rFont val="Lexend Deca"/>
        <b/>
        <color theme="1"/>
      </rPr>
      <t>EPS</t>
    </r>
    <r>
      <rPr>
        <rFont val="Lexend Deca"/>
        <color theme="1"/>
      </rPr>
      <t xml:space="preserve"> (Earnings Per Share) growth is </t>
    </r>
    <r>
      <rPr>
        <rFont val="Lexend Deca"/>
        <b/>
        <color theme="1"/>
      </rPr>
      <t xml:space="preserve">slow </t>
    </r>
    <r>
      <rPr>
        <rFont val="Lexend Deca"/>
        <color theme="1"/>
      </rPr>
      <t xml:space="preserve">-- 16.62 (2022) to 18.64 (2024). </t>
    </r>
    <r>
      <rPr>
        <rFont val="Lexend Deca"/>
        <b/>
        <color theme="1"/>
      </rPr>
      <t>P/E</t>
    </r>
    <r>
      <rPr>
        <rFont val="Lexend Deca"/>
        <color theme="1"/>
      </rPr>
      <t xml:space="preserve"> Ratio: 18.02 (2024) -- </t>
    </r>
    <r>
      <rPr>
        <rFont val="Lexend Deca"/>
        <b/>
        <color theme="1"/>
      </rPr>
      <t xml:space="preserve">Higher </t>
    </r>
    <r>
      <rPr>
        <rFont val="Lexend Deca"/>
        <color theme="1"/>
      </rPr>
      <t xml:space="preserve">than historical averages, meaning the </t>
    </r>
    <r>
      <rPr>
        <rFont val="Lexend Deca"/>
        <b/>
        <color theme="1"/>
      </rPr>
      <t>stock may be overpriced.</t>
    </r>
    <r>
      <rPr>
        <rFont val="Lexend Deca"/>
        <color theme="1"/>
      </rPr>
      <t xml:space="preserve"> </t>
    </r>
  </si>
  <si>
    <t>Gross profit margin</t>
  </si>
  <si>
    <t>3. Tata Steel-</t>
  </si>
  <si>
    <r>
      <rPr>
        <rFont val="Lexend Deca"/>
        <b/>
        <color rgb="FFFF00FF"/>
      </rPr>
      <t>Drop TATA Steel.</t>
    </r>
    <r>
      <rPr>
        <rFont val="Lexend Deca"/>
        <color theme="1"/>
      </rPr>
      <t xml:space="preserve"> Earnings Per Share (</t>
    </r>
    <r>
      <rPr>
        <rFont val="Lexend Deca"/>
        <b/>
        <color theme="1"/>
      </rPr>
      <t>EPS</t>
    </r>
    <r>
      <rPr>
        <rFont val="Lexend Deca"/>
        <color theme="1"/>
      </rPr>
      <t>) crashed from</t>
    </r>
    <r>
      <rPr>
        <rFont val="Lexend Deca"/>
        <b/>
        <color theme="1"/>
      </rPr>
      <t xml:space="preserve"> ₹270.33 (2022) to ₹3.85 (2024).</t>
    </r>
    <r>
      <rPr>
        <rFont val="Lexend Deca"/>
        <color theme="1"/>
      </rPr>
      <t xml:space="preserve"> Current </t>
    </r>
    <r>
      <rPr>
        <rFont val="Lexend Deca"/>
        <b/>
        <color theme="1"/>
      </rPr>
      <t>RSI: 71.32</t>
    </r>
    <r>
      <rPr>
        <rFont val="Lexend Deca"/>
        <color theme="1"/>
      </rPr>
      <t xml:space="preserve"> -- This means Tata Steel is in the overbought zone. Debt-to-Equity (</t>
    </r>
    <r>
      <rPr>
        <rFont val="Lexend Deca"/>
        <b/>
        <color theme="1"/>
      </rPr>
      <t>D/E</t>
    </r>
    <r>
      <rPr>
        <rFont val="Lexend Deca"/>
        <color theme="1"/>
      </rPr>
      <t xml:space="preserve">) Ratio is rising. </t>
    </r>
    <r>
      <rPr>
        <rFont val="Lexend Deca"/>
        <b/>
        <color theme="1"/>
      </rPr>
      <t xml:space="preserve">P/E </t>
    </r>
    <r>
      <rPr>
        <rFont val="Lexend Deca"/>
        <color theme="1"/>
      </rPr>
      <t>Ratio jumped from</t>
    </r>
    <r>
      <rPr>
        <rFont val="Lexend Deca"/>
        <b/>
        <color theme="1"/>
      </rPr>
      <t xml:space="preserve"> 0.48 (2022) to 40.48 (2024). </t>
    </r>
  </si>
  <si>
    <t>4. Bharat Electronics-</t>
  </si>
  <si>
    <t>Operating profit margin</t>
  </si>
  <si>
    <r>
      <rPr>
        <rFont val="Lexend Deca"/>
        <b/>
        <color rgb="FFFF00FF"/>
      </rPr>
      <t xml:space="preserve">Hold BEL. </t>
    </r>
    <r>
      <rPr>
        <rFont val="Lexend Deca"/>
        <b/>
        <color theme="1"/>
      </rPr>
      <t xml:space="preserve">Zero debt </t>
    </r>
    <r>
      <rPr>
        <rFont val="Lexend Deca"/>
        <color theme="1"/>
      </rPr>
      <t xml:space="preserve">makes it a low-risk investment. </t>
    </r>
    <r>
      <rPr>
        <rFont val="Lexend Deca"/>
        <b/>
        <color theme="1"/>
      </rPr>
      <t>Huge cash reserves</t>
    </r>
    <r>
      <rPr>
        <rFont val="Lexend Deca"/>
        <color theme="1"/>
      </rPr>
      <t xml:space="preserve"> and no debt pressure. </t>
    </r>
    <r>
      <rPr>
        <rFont val="Lexend Deca"/>
        <b/>
        <color theme="1"/>
      </rPr>
      <t xml:space="preserve">RSI: 55.15 </t>
    </r>
    <r>
      <rPr>
        <rFont val="Lexend Deca"/>
        <color theme="1"/>
      </rPr>
      <t>→ Neutral zone, not overbought. Consistently pays dividends due to</t>
    </r>
    <r>
      <rPr>
        <rFont val="Lexend Deca"/>
        <b/>
        <color theme="1"/>
      </rPr>
      <t xml:space="preserve"> strong profitability.</t>
    </r>
    <r>
      <rPr>
        <rFont val="Lexend Deca"/>
        <color theme="1"/>
      </rPr>
      <t xml:space="preserve">
</t>
    </r>
    <r>
      <rPr>
        <rFont val="Lexend Deca"/>
        <b/>
        <color theme="1"/>
      </rPr>
      <t>BUY on dips</t>
    </r>
    <r>
      <rPr>
        <rFont val="Lexend Deca"/>
        <color theme="1"/>
      </rPr>
      <t xml:space="preserve"> (if RSI falls to 40 or below) </t>
    </r>
  </si>
  <si>
    <t>5. HUL-</t>
  </si>
  <si>
    <r>
      <rPr>
        <rFont val="Lexend Deca"/>
        <b/>
        <color rgb="FFFF00FF"/>
      </rPr>
      <t xml:space="preserve">Hold HUL. </t>
    </r>
    <r>
      <rPr>
        <rFont val="Lexend Deca"/>
        <b val="0"/>
        <color rgb="FF000000"/>
      </rPr>
      <t xml:space="preserve"> </t>
    </r>
    <r>
      <rPr>
        <rFont val="Lexend Deca"/>
        <b/>
        <color rgb="FF000000"/>
      </rPr>
      <t>Net profit margins are stable</t>
    </r>
    <r>
      <rPr>
        <rFont val="Lexend Deca"/>
        <b val="0"/>
        <color rgb="FF000000"/>
      </rPr>
      <t xml:space="preserve">. Top-selling brands like Lux, Dove, Surf Excel, Pepsodent, Horlicks, and Bru. </t>
    </r>
    <r>
      <rPr>
        <rFont val="Lexend Deca"/>
        <b/>
        <color rgb="FF000000"/>
      </rPr>
      <t>Zero debt,</t>
    </r>
    <r>
      <rPr>
        <rFont val="Lexend Deca"/>
        <b val="0"/>
        <color rgb="FF000000"/>
      </rPr>
      <t xml:space="preserve"> meaning no financial burden. Interest Coverage Ratio:</t>
    </r>
    <r>
      <rPr>
        <rFont val="Lexend Deca"/>
        <b/>
        <color rgb="FF000000"/>
      </rPr>
      <t xml:space="preserve"> 50.21 -- Strong cash flow</t>
    </r>
    <r>
      <rPr>
        <rFont val="Lexend Deca"/>
        <b val="0"/>
        <color rgb="FF000000"/>
      </rPr>
      <t xml:space="preserve">. </t>
    </r>
    <r>
      <rPr>
        <rFont val="Lexend Deca"/>
        <b/>
        <color rgb="FF000000"/>
      </rPr>
      <t>RSI: 38.78 -- Near oversold.</t>
    </r>
  </si>
  <si>
    <t>Net profit margin</t>
  </si>
  <si>
    <t>Current Ratio</t>
  </si>
  <si>
    <t>Quick Ratio</t>
  </si>
  <si>
    <t>Debt-equity Ratio (D/E)</t>
  </si>
  <si>
    <t>Interest Coverage</t>
  </si>
  <si>
    <t>3 years Sales</t>
  </si>
  <si>
    <t>3 years Net profit</t>
  </si>
  <si>
    <t>Return on Investment (ROI)</t>
  </si>
  <si>
    <t>Note:</t>
  </si>
  <si>
    <t>ROI=Net income/(long-term liabilities + shareholders' equity) [when investment details aren’t mentioned</t>
  </si>
  <si>
    <t>For each selected stock add the below details:</t>
  </si>
  <si>
    <t>Selected Stock: TCS</t>
  </si>
  <si>
    <t>Market Research</t>
  </si>
  <si>
    <t>Particluars</t>
  </si>
  <si>
    <t>Reserves  &amp; Surplus</t>
  </si>
  <si>
    <t>EPS</t>
  </si>
  <si>
    <t>Book Value</t>
  </si>
  <si>
    <t>52 week high and low (Mention date)</t>
  </si>
  <si>
    <t>Low: 3457.00</t>
  </si>
  <si>
    <t>High: 4592.25</t>
  </si>
  <si>
    <t>Date: Mar 18th, 2025</t>
  </si>
  <si>
    <t>Total Sales</t>
  </si>
  <si>
    <t>Total Profits</t>
  </si>
  <si>
    <t>Dividends</t>
  </si>
  <si>
    <t>P/E</t>
  </si>
  <si>
    <t>#Outstanding shares (in Cr)</t>
  </si>
  <si>
    <t>Selected Stock: HDFC Bank Ltd.</t>
  </si>
  <si>
    <t>Low: 1421.25</t>
  </si>
  <si>
    <t>High: 1880.00</t>
  </si>
  <si>
    <t>Selected Stock: Nestle India Ltd.</t>
  </si>
  <si>
    <t>Low: 2110.00</t>
  </si>
  <si>
    <t>High: 2778.00</t>
  </si>
  <si>
    <t>Selected Stock: The Tata Power Company Ltd.</t>
  </si>
  <si>
    <t>Low: 326.35</t>
  </si>
  <si>
    <t>High: 494.85</t>
  </si>
  <si>
    <t>Selected Stock: Larsen &amp; Toubro Ltd.</t>
  </si>
  <si>
    <t>Low: 3141.00</t>
  </si>
  <si>
    <t>High: 3963.50</t>
  </si>
  <si>
    <t>Selected Stock: Dr Reddys Laboratories Ltd.</t>
  </si>
  <si>
    <t>Low: 1092.45</t>
  </si>
  <si>
    <t>High: 1421.49</t>
  </si>
  <si>
    <t>Selected Stock: Mahindra and Mahindra Ltd.</t>
  </si>
  <si>
    <t>Low: 1820.55</t>
  </si>
  <si>
    <t>High: 3270.95`</t>
  </si>
  <si>
    <t>Selected Stock: Bharti Airtel Ltd.</t>
  </si>
  <si>
    <t>Low: 1183.1</t>
  </si>
  <si>
    <t>High: 1779`</t>
  </si>
  <si>
    <t>Selected Stock: Avenue Supermarts Ltd.</t>
  </si>
  <si>
    <t>Low: 3340.00</t>
  </si>
  <si>
    <t>High: 5484.85</t>
  </si>
  <si>
    <t>Selected Stock: SBI Life Insurance Company Ltd.</t>
  </si>
  <si>
    <t>Low: 1307.70</t>
  </si>
  <si>
    <t>High: 1936.00</t>
  </si>
  <si>
    <t>Optimal Portfolio allocation: Invest 10 lakhs virtual cash for the 10 stocks</t>
  </si>
  <si>
    <t>Sno</t>
  </si>
  <si>
    <t>Original Portfolio</t>
  </si>
  <si>
    <t>Updated Portfolio</t>
  </si>
  <si>
    <t>Stock name</t>
  </si>
  <si>
    <t>Stock price</t>
  </si>
  <si>
    <t>Qty</t>
  </si>
  <si>
    <t>Amount</t>
  </si>
  <si>
    <t>% Alloted</t>
  </si>
  <si>
    <t>TCS</t>
  </si>
  <si>
    <t>HDFC Bank</t>
  </si>
  <si>
    <t>Nestle India</t>
  </si>
  <si>
    <t>Tata Power</t>
  </si>
  <si>
    <t>Larsen &amp; Toubro</t>
  </si>
  <si>
    <t>Dr Reddy's Labs</t>
  </si>
  <si>
    <t>Mahindra &amp; Mahindra</t>
  </si>
  <si>
    <t>Bharti Airtel</t>
  </si>
  <si>
    <t>Avenue Supermarts</t>
  </si>
  <si>
    <t>SBI Life Insurance</t>
  </si>
  <si>
    <t>Total</t>
  </si>
  <si>
    <t>Company Name</t>
  </si>
  <si>
    <t>P/E Ratio</t>
  </si>
  <si>
    <t>P/B Ratio</t>
  </si>
  <si>
    <t>Dividend Yield(%)</t>
  </si>
  <si>
    <t>Market Capital(Rs in Cr)</t>
  </si>
  <si>
    <t>Sector</t>
  </si>
  <si>
    <t>Company's Reserve(Rs in Cr)</t>
  </si>
  <si>
    <t>52 week High</t>
  </si>
  <si>
    <t>52 week Low</t>
  </si>
  <si>
    <t>Beta</t>
  </si>
  <si>
    <t>No. of shares</t>
  </si>
  <si>
    <t>Oil &amp; Gas</t>
  </si>
  <si>
    <t>1,96,702.40</t>
  </si>
  <si>
    <t>Power</t>
  </si>
  <si>
    <t>Metals &amp; Mining</t>
  </si>
  <si>
    <t>Capital Goods</t>
  </si>
  <si>
    <t>4,90,651.15</t>
  </si>
  <si>
    <t>FMCG</t>
  </si>
  <si>
    <t>*All values as on 20th May 2020</t>
  </si>
  <si>
    <t>Company 1</t>
  </si>
  <si>
    <t>company 2</t>
  </si>
  <si>
    <t>company 3</t>
  </si>
  <si>
    <t>Company 4</t>
  </si>
  <si>
    <t>Company 5</t>
  </si>
  <si>
    <t>Company 6</t>
  </si>
  <si>
    <t>Selected Stocks</t>
  </si>
  <si>
    <t>Total profits</t>
  </si>
  <si>
    <t>#Outstanding shares</t>
  </si>
  <si>
    <t>Ratios</t>
  </si>
  <si>
    <t>Reserves</t>
  </si>
  <si>
    <t>Liquidity-current and quick ratios</t>
  </si>
  <si>
    <t>Profitability-gross, operating and net profit margins</t>
  </si>
  <si>
    <t>Solvency-Debt-equity(D/E) &amp; Interest coverage ratios</t>
  </si>
  <si>
    <t>52 week high and low</t>
  </si>
  <si>
    <t>P/BV-price to book value</t>
  </si>
  <si>
    <t>P/E-price-to-earnings</t>
  </si>
  <si>
    <t>D/E-debt-to-equity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</si>
</sst>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Lexend Deca"/>
    </font>
    <font/>
    <font>
      <color theme="1"/>
      <name val="Lexend Deca"/>
    </font>
    <font>
      <color theme="1"/>
      <name val="Arial"/>
    </font>
    <font>
      <b/>
      <color theme="1"/>
      <name val="&quot;Lexend Deca&quot;"/>
    </font>
    <font>
      <color theme="1"/>
      <name val="&quot;Lexend Deca&quot;"/>
    </font>
    <font>
      <b/>
      <u/>
      <sz val="12.0"/>
      <color rgb="FF0000FF"/>
      <name val="Lexend Deca"/>
    </font>
    <font>
      <b/>
      <color rgb="FFFF0000"/>
      <name val="Lexend Deca"/>
    </font>
    <font>
      <sz val="8.0"/>
      <color rgb="FF282828"/>
      <name val="Latoregular"/>
    </font>
    <font>
      <b/>
      <color rgb="FFFF00FF"/>
      <name val="Lexend Deca"/>
    </font>
    <font>
      <sz val="11.0"/>
      <color rgb="FF000000"/>
      <name val="&quot;Lexend Deca&quot;"/>
    </font>
    <font>
      <b/>
      <sz val="10.0"/>
      <color rgb="FF00FFFF"/>
      <name val="Lexend Deca"/>
    </font>
    <font>
      <b/>
      <sz val="11.0"/>
      <color theme="1"/>
      <name val="Calibri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rgb="FF63D297"/>
        <bgColor rgb="FF63D297"/>
      </patternFill>
    </fill>
  </fills>
  <borders count="19">
    <border/>
    <border>
      <left style="thin">
        <color rgb="FF4285F4"/>
      </left>
      <top style="thin">
        <color rgb="FF4285F4"/>
      </top>
      <bottom style="thin">
        <color rgb="FF4285F4"/>
      </bottom>
    </border>
    <border>
      <top style="thin">
        <color rgb="FF4285F4"/>
      </top>
      <bottom style="thin">
        <color rgb="FF4285F4"/>
      </bottom>
    </border>
    <border>
      <right style="thin">
        <color rgb="FF4285F4"/>
      </right>
      <top style="thin">
        <color rgb="FF4285F4"/>
      </top>
    </border>
    <border>
      <left style="thin">
        <color rgb="FF8BC34A"/>
      </left>
      <top style="thin">
        <color rgb="FF8BC34A"/>
      </top>
      <bottom style="thin">
        <color rgb="FF8BC34A"/>
      </bottom>
    </border>
    <border>
      <left style="thin">
        <color rgb="FF8BC34A"/>
      </left>
      <right style="thin">
        <color rgb="FF8BC34A"/>
      </right>
      <top style="thin">
        <color rgb="FF8BC34A"/>
      </top>
      <bottom style="thin">
        <color rgb="FF8BC34A"/>
      </bottom>
    </border>
    <border>
      <left style="thin">
        <color rgb="FF8BC34A"/>
      </left>
      <bottom style="thin">
        <color rgb="FF8BC34A"/>
      </bottom>
    </border>
    <border>
      <left style="thin">
        <color rgb="FF8BC34A"/>
      </left>
      <right style="thin">
        <color rgb="FF8BC34A"/>
      </right>
      <top style="thin">
        <color rgb="FF8BC34A"/>
      </top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8BC34A"/>
      </right>
      <top style="thin">
        <color rgb="FF8BC34A"/>
      </top>
      <bottom style="thin">
        <color rgb="FF8BC34A"/>
      </bottom>
    </border>
    <border>
      <left style="thin">
        <color rgb="FF8BC34A"/>
      </left>
      <right style="thin">
        <color rgb="FF8BC34A"/>
      </right>
      <bottom style="thin">
        <color rgb="FF8BC34A"/>
      </bottom>
    </border>
    <border>
      <right style="thin">
        <color rgb="FF8BC34A"/>
      </right>
      <bottom style="thin">
        <color rgb="FF8BC34A"/>
      </bottom>
    </border>
    <border>
      <bottom style="thin">
        <color rgb="FF34A853"/>
      </bottom>
    </border>
    <border>
      <left style="thin">
        <color rgb="FF34A853"/>
      </left>
      <right style="thin">
        <color rgb="FF34A853"/>
      </right>
      <bottom style="thin">
        <color rgb="FF34A853"/>
      </bottom>
    </border>
    <border>
      <right style="thin">
        <color rgb="FF34A853"/>
      </right>
      <bottom style="thin">
        <color rgb="FF34A853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0" fillId="0" fontId="3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2" fontId="1" numFmtId="0" xfId="0" applyFont="1"/>
    <xf borderId="3" fillId="2" fontId="1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horizontal="right" vertical="bottom"/>
    </xf>
    <xf borderId="5" fillId="0" fontId="3" numFmtId="0" xfId="0" applyBorder="1" applyFont="1"/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top" wrapText="1"/>
    </xf>
    <xf borderId="0" fillId="3" fontId="9" numFmtId="0" xfId="0" applyFill="1" applyFont="1"/>
    <xf borderId="0" fillId="2" fontId="1" numFmtId="0" xfId="0" applyAlignment="1" applyFont="1">
      <alignment readingOrder="0"/>
    </xf>
    <xf borderId="0" fillId="0" fontId="10" numFmtId="0" xfId="0" applyAlignment="1" applyFont="1">
      <alignment readingOrder="0" shrinkToFit="0" vertical="top" wrapText="1"/>
    </xf>
    <xf borderId="0" fillId="4" fontId="1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6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7" fontId="1" numFmtId="0" xfId="0" applyAlignment="1" applyFill="1" applyFont="1">
      <alignment readingOrder="0"/>
    </xf>
    <xf borderId="7" fillId="7" fontId="1" numFmtId="0" xfId="0" applyAlignment="1" applyBorder="1" applyFont="1">
      <alignment horizontal="right" readingOrder="0" vertical="bottom"/>
    </xf>
    <xf borderId="7" fillId="7" fontId="1" numFmtId="0" xfId="0" applyAlignment="1" applyBorder="1" applyFont="1">
      <alignment horizontal="right" vertical="bottom"/>
    </xf>
    <xf borderId="8" fillId="3" fontId="3" numFmtId="0" xfId="0" applyAlignment="1" applyBorder="1" applyFont="1">
      <alignment readingOrder="0" vertical="bottom"/>
    </xf>
    <xf borderId="8" fillId="0" fontId="3" numFmtId="4" xfId="0" applyAlignment="1" applyBorder="1" applyFont="1" applyNumberFormat="1">
      <alignment readingOrder="0"/>
    </xf>
    <xf borderId="8" fillId="0" fontId="3" numFmtId="0" xfId="0" applyAlignment="1" applyBorder="1" applyFont="1">
      <alignment readingOrder="0"/>
    </xf>
    <xf borderId="8" fillId="0" fontId="3" numFmtId="2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3" fontId="12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8" fillId="0" fontId="1" numFmtId="0" xfId="0" applyAlignment="1" applyBorder="1" applyFont="1">
      <alignment vertical="bottom"/>
    </xf>
    <xf borderId="8" fillId="0" fontId="1" numFmtId="0" xfId="0" applyAlignment="1" applyBorder="1" applyFont="1">
      <alignment readingOrder="0"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right" readingOrder="0" vertical="bottom"/>
    </xf>
    <xf borderId="8" fillId="0" fontId="3" numFmtId="0" xfId="0" applyAlignment="1" applyBorder="1" applyFont="1">
      <alignment horizontal="right" vertical="bottom"/>
    </xf>
    <xf borderId="8" fillId="0" fontId="3" numFmtId="10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center" readingOrder="0"/>
    </xf>
    <xf borderId="9" fillId="0" fontId="2" numFmtId="0" xfId="0" applyBorder="1" applyFont="1"/>
    <xf borderId="8" fillId="0" fontId="1" numFmtId="0" xfId="0" applyBorder="1" applyFont="1"/>
    <xf borderId="8" fillId="0" fontId="1" numFmtId="10" xfId="0" applyAlignment="1" applyBorder="1" applyFont="1" applyNumberFormat="1">
      <alignment horizontal="right" vertical="bottom"/>
    </xf>
    <xf borderId="10" fillId="0" fontId="13" numFmtId="0" xfId="0" applyAlignment="1" applyBorder="1" applyFont="1">
      <alignment shrinkToFit="0" wrapText="1"/>
    </xf>
    <xf borderId="11" fillId="0" fontId="13" numFmtId="0" xfId="0" applyAlignment="1" applyBorder="1" applyFont="1">
      <alignment shrinkToFit="0" wrapText="1"/>
    </xf>
    <xf borderId="12" fillId="0" fontId="13" numFmtId="0" xfId="0" applyAlignment="1" applyBorder="1" applyFont="1">
      <alignment vertical="bottom"/>
    </xf>
    <xf borderId="10" fillId="0" fontId="13" numFmtId="0" xfId="0" applyAlignment="1" applyBorder="1" applyFont="1">
      <alignment vertical="bottom"/>
    </xf>
    <xf borderId="10" fillId="0" fontId="14" numFmtId="0" xfId="0" applyAlignment="1" applyBorder="1" applyFont="1">
      <alignment vertical="bottom"/>
    </xf>
    <xf borderId="10" fillId="0" fontId="14" numFmtId="0" xfId="0" applyAlignment="1" applyBorder="1" applyFont="1">
      <alignment horizontal="right" vertical="bottom"/>
    </xf>
    <xf borderId="10" fillId="0" fontId="14" numFmtId="4" xfId="0" applyAlignment="1" applyBorder="1" applyFont="1" applyNumberFormat="1">
      <alignment horizontal="right" vertical="bottom"/>
    </xf>
    <xf borderId="10" fillId="0" fontId="13" numFmtId="0" xfId="0" applyAlignment="1" applyBorder="1" applyFont="1">
      <alignment horizontal="right" vertical="bottom"/>
    </xf>
    <xf borderId="10" fillId="0" fontId="14" numFmtId="3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4" fontId="13" numFmtId="0" xfId="0" applyAlignment="1" applyFont="1">
      <alignment vertical="bottom"/>
    </xf>
    <xf borderId="8" fillId="2" fontId="5" numFmtId="0" xfId="0" applyAlignment="1" applyBorder="1" applyFont="1">
      <alignment readingOrder="0" vertical="bottom"/>
    </xf>
    <xf borderId="9" fillId="2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3" fillId="0" fontId="5" numFmtId="0" xfId="0" applyAlignment="1" applyBorder="1" applyFont="1">
      <alignment horizontal="right" readingOrder="0" vertical="bottom"/>
    </xf>
    <xf borderId="13" fillId="0" fontId="5" numFmtId="0" xfId="0" applyAlignment="1" applyBorder="1" applyFont="1">
      <alignment horizontal="right" vertical="bottom"/>
    </xf>
    <xf borderId="14" fillId="0" fontId="6" numFmtId="0" xfId="0" applyAlignment="1" applyBorder="1" applyFont="1">
      <alignment vertical="bottom"/>
    </xf>
    <xf borderId="15" fillId="0" fontId="4" numFmtId="0" xfId="0" applyAlignment="1" applyBorder="1" applyFont="1">
      <alignment vertical="bottom"/>
    </xf>
    <xf borderId="14" fillId="0" fontId="6" numFmtId="0" xfId="0" applyAlignment="1" applyBorder="1" applyFont="1">
      <alignment readingOrder="0" vertical="bottom"/>
    </xf>
    <xf borderId="16" fillId="0" fontId="4" numFmtId="0" xfId="0" applyAlignment="1" applyBorder="1" applyFont="1">
      <alignment vertical="bottom"/>
    </xf>
    <xf borderId="17" fillId="10" fontId="5" numFmtId="0" xfId="0" applyAlignment="1" applyBorder="1" applyFill="1" applyFont="1">
      <alignment readingOrder="0" vertical="bottom"/>
    </xf>
    <xf borderId="18" fillId="10" fontId="5" numFmtId="0" xfId="0" applyAlignment="1" applyBorder="1" applyFont="1">
      <alignment vertical="bottom"/>
    </xf>
    <xf borderId="17" fillId="0" fontId="6" numFmtId="0" xfId="0" applyAlignment="1" applyBorder="1" applyFont="1">
      <alignment vertical="bottom"/>
    </xf>
    <xf borderId="18" fillId="0" fontId="4" numFmtId="0" xfId="0" applyAlignment="1" applyBorder="1" applyFont="1">
      <alignment vertical="bottom"/>
    </xf>
    <xf borderId="16" fillId="0" fontId="2" numFmtId="0" xfId="0" applyBorder="1" applyFont="1"/>
    <xf borderId="1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7" max="7" width="5.0"/>
    <col customWidth="1" min="8" max="8" width="3.38"/>
    <col customWidth="1" min="9" max="9" width="46.0"/>
  </cols>
  <sheetData>
    <row r="1">
      <c r="A1" s="1" t="s">
        <v>0</v>
      </c>
      <c r="B1" s="2" t="s">
        <v>1</v>
      </c>
      <c r="C1" s="3"/>
      <c r="D1" s="3"/>
      <c r="E1" s="2" t="s">
        <v>2</v>
      </c>
      <c r="F1" s="3"/>
      <c r="G1" s="4"/>
      <c r="H1" s="5"/>
      <c r="I1" s="6" t="s">
        <v>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4"/>
      <c r="H2" s="9">
        <v>1.0</v>
      </c>
      <c r="I2" s="10" t="s">
        <v>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 t="s">
        <v>10</v>
      </c>
      <c r="B3" s="12">
        <v>2024.0</v>
      </c>
      <c r="C3" s="12">
        <v>2023.0</v>
      </c>
      <c r="D3" s="13">
        <v>2022.0</v>
      </c>
      <c r="E3" s="14"/>
      <c r="F3" s="14"/>
      <c r="G3" s="4"/>
      <c r="H3" s="15" t="s">
        <v>11</v>
      </c>
      <c r="I3" s="16" t="s">
        <v>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7" t="s">
        <v>12</v>
      </c>
      <c r="B4" s="18">
        <v>32.21</v>
      </c>
      <c r="C4" s="18">
        <v>30.86</v>
      </c>
      <c r="D4" s="18">
        <v>32.04</v>
      </c>
      <c r="E4" s="14"/>
      <c r="F4" s="14"/>
      <c r="G4" s="4"/>
      <c r="H4" s="15" t="s">
        <v>13</v>
      </c>
      <c r="I4" s="16" t="s">
        <v>14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7" t="s">
        <v>15</v>
      </c>
      <c r="B5" s="18">
        <v>18.64</v>
      </c>
      <c r="C5" s="18">
        <v>17.73</v>
      </c>
      <c r="D5" s="18">
        <v>16.62</v>
      </c>
      <c r="E5" s="14"/>
      <c r="F5" s="14"/>
      <c r="G5" s="4"/>
      <c r="H5" s="15" t="s">
        <v>16</v>
      </c>
      <c r="I5" s="16" t="s">
        <v>17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7" t="s">
        <v>18</v>
      </c>
      <c r="B6" s="18">
        <v>3.85</v>
      </c>
      <c r="C6" s="18">
        <v>12.68</v>
      </c>
      <c r="D6" s="18">
        <v>270.33</v>
      </c>
      <c r="E6" s="14"/>
      <c r="F6" s="14"/>
      <c r="G6" s="4"/>
      <c r="H6" s="15" t="s">
        <v>19</v>
      </c>
      <c r="I6" s="16" t="s">
        <v>20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7" t="s">
        <v>21</v>
      </c>
      <c r="B7" s="18">
        <v>5.5</v>
      </c>
      <c r="C7" s="18">
        <v>4.11</v>
      </c>
      <c r="D7" s="18">
        <v>9.64</v>
      </c>
      <c r="E7" s="14"/>
      <c r="F7" s="14"/>
      <c r="G7" s="4"/>
      <c r="H7" s="15" t="s">
        <v>22</v>
      </c>
      <c r="I7" s="16" t="s">
        <v>23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7" t="s">
        <v>24</v>
      </c>
      <c r="B8" s="18">
        <v>43.05</v>
      </c>
      <c r="C8" s="18">
        <v>42.4</v>
      </c>
      <c r="D8" s="18">
        <v>37.53</v>
      </c>
      <c r="E8" s="14"/>
      <c r="F8" s="14"/>
      <c r="G8" s="4"/>
      <c r="H8" s="15" t="s">
        <v>25</v>
      </c>
      <c r="I8" s="16" t="s">
        <v>26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15" t="s">
        <v>27</v>
      </c>
      <c r="I9" s="16" t="s">
        <v>28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0</v>
      </c>
      <c r="B10" s="2" t="s">
        <v>1</v>
      </c>
      <c r="C10" s="3"/>
      <c r="D10" s="3"/>
      <c r="E10" s="2" t="s">
        <v>2</v>
      </c>
      <c r="F10" s="3"/>
      <c r="G10" s="4"/>
      <c r="H10" s="15" t="s">
        <v>29</v>
      </c>
      <c r="I10" s="16" t="s">
        <v>30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14</v>
      </c>
      <c r="B11" s="8" t="s">
        <v>5</v>
      </c>
      <c r="C11" s="8" t="s">
        <v>6</v>
      </c>
      <c r="D11" s="8" t="s">
        <v>7</v>
      </c>
      <c r="E11" s="8" t="s">
        <v>8</v>
      </c>
      <c r="F11" s="8" t="s">
        <v>9</v>
      </c>
      <c r="G11" s="4"/>
      <c r="H11" s="9">
        <v>2.0</v>
      </c>
      <c r="I11" s="10" t="s">
        <v>31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 t="s">
        <v>10</v>
      </c>
      <c r="B12" s="12">
        <v>2024.0</v>
      </c>
      <c r="C12" s="12">
        <v>2023.0</v>
      </c>
      <c r="D12" s="13">
        <v>2022.0</v>
      </c>
      <c r="E12" s="14"/>
      <c r="F12" s="14"/>
      <c r="G12" s="4"/>
      <c r="H12" s="15" t="s">
        <v>11</v>
      </c>
      <c r="I12" s="16" t="s">
        <v>32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7" t="s">
        <v>12</v>
      </c>
      <c r="B13" s="18">
        <v>2.6</v>
      </c>
      <c r="C13" s="18">
        <v>1.31</v>
      </c>
      <c r="D13" s="18">
        <v>1.87</v>
      </c>
      <c r="E13" s="14"/>
      <c r="F13" s="14"/>
      <c r="G13" s="4"/>
      <c r="H13" s="15" t="s">
        <v>13</v>
      </c>
      <c r="I13" s="16" t="s">
        <v>33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7" t="s">
        <v>15</v>
      </c>
      <c r="B14" s="18">
        <v>2.01</v>
      </c>
      <c r="C14" s="18">
        <v>1.04</v>
      </c>
      <c r="D14" s="18">
        <v>1.13</v>
      </c>
      <c r="E14" s="14"/>
      <c r="F14" s="1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 t="s">
        <v>18</v>
      </c>
      <c r="B15" s="18">
        <v>1.38</v>
      </c>
      <c r="C15" s="18">
        <v>0.99</v>
      </c>
      <c r="D15" s="18">
        <v>1.24</v>
      </c>
      <c r="E15" s="14"/>
      <c r="F15" s="14"/>
      <c r="G15" s="4"/>
      <c r="H15" s="4"/>
      <c r="I15" s="19" t="s">
        <v>34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 t="s">
        <v>21</v>
      </c>
      <c r="B16" s="18">
        <v>7.3</v>
      </c>
      <c r="C16" s="18">
        <v>4.04</v>
      </c>
      <c r="D16" s="18">
        <v>3.35</v>
      </c>
      <c r="E16" s="14"/>
      <c r="F16" s="14"/>
      <c r="G16" s="4"/>
      <c r="H16" s="4"/>
      <c r="I16" s="20" t="s">
        <v>35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7" t="s">
        <v>24</v>
      </c>
      <c r="B17" s="18">
        <v>8.82</v>
      </c>
      <c r="C17" s="18">
        <v>10.17</v>
      </c>
      <c r="D17" s="18">
        <v>9.41</v>
      </c>
      <c r="E17" s="14"/>
      <c r="F17" s="14"/>
      <c r="G17" s="4"/>
      <c r="H17" s="4"/>
      <c r="I17" s="21" t="s">
        <v>36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0</v>
      </c>
      <c r="B19" s="2" t="s">
        <v>1</v>
      </c>
      <c r="C19" s="3"/>
      <c r="D19" s="3"/>
      <c r="E19" s="2" t="s">
        <v>2</v>
      </c>
      <c r="F19" s="3"/>
      <c r="G19" s="4"/>
      <c r="H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 t="s">
        <v>17</v>
      </c>
      <c r="B20" s="8" t="s">
        <v>5</v>
      </c>
      <c r="C20" s="8" t="s">
        <v>6</v>
      </c>
      <c r="D20" s="8" t="s">
        <v>7</v>
      </c>
      <c r="E20" s="8" t="s">
        <v>8</v>
      </c>
      <c r="F20" s="8" t="s">
        <v>9</v>
      </c>
      <c r="G20" s="4"/>
      <c r="H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 t="s">
        <v>10</v>
      </c>
      <c r="B21" s="12">
        <v>2024.0</v>
      </c>
      <c r="C21" s="12">
        <v>2023.0</v>
      </c>
      <c r="D21" s="13">
        <v>2022.0</v>
      </c>
      <c r="E21" s="14"/>
      <c r="F21" s="1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7" t="s">
        <v>12</v>
      </c>
      <c r="B22" s="18">
        <v>8.32</v>
      </c>
      <c r="C22" s="18">
        <v>4.89</v>
      </c>
      <c r="D22" s="18">
        <v>5.12</v>
      </c>
      <c r="E22" s="14"/>
      <c r="F22" s="14"/>
      <c r="G22" s="4"/>
      <c r="H22" s="4"/>
      <c r="I22" s="20" t="s">
        <v>37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7" t="s">
        <v>15</v>
      </c>
      <c r="B23" s="18">
        <v>18.02</v>
      </c>
      <c r="C23" s="18">
        <v>9.88</v>
      </c>
      <c r="D23" s="18">
        <v>8.12</v>
      </c>
      <c r="E23" s="14"/>
      <c r="F23" s="14"/>
      <c r="G23" s="4"/>
      <c r="H23" s="4"/>
      <c r="I23" s="22" t="s">
        <v>38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7" t="s">
        <v>18</v>
      </c>
      <c r="B24" s="18">
        <v>40.48</v>
      </c>
      <c r="C24" s="18">
        <v>8.24</v>
      </c>
      <c r="D24" s="18">
        <v>0.48</v>
      </c>
      <c r="E24" s="14"/>
      <c r="F24" s="14"/>
      <c r="G24" s="4"/>
      <c r="H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7" t="s">
        <v>21</v>
      </c>
      <c r="B25" s="18">
        <v>36.64</v>
      </c>
      <c r="C25" s="18">
        <v>23.73</v>
      </c>
      <c r="D25" s="18">
        <v>7.29</v>
      </c>
      <c r="E25" s="14"/>
      <c r="F25" s="14"/>
      <c r="G25" s="4"/>
      <c r="H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7" t="s">
        <v>24</v>
      </c>
      <c r="B26" s="18">
        <v>52.6</v>
      </c>
      <c r="C26" s="18">
        <v>60.39</v>
      </c>
      <c r="D26" s="18">
        <v>54.59</v>
      </c>
      <c r="E26" s="14"/>
      <c r="F26" s="14"/>
      <c r="G26" s="4"/>
      <c r="H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23"/>
      <c r="C27" s="4"/>
      <c r="D27" s="4"/>
      <c r="E27" s="4"/>
      <c r="F27" s="4"/>
      <c r="G27" s="4"/>
      <c r="H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0</v>
      </c>
      <c r="B28" s="2" t="s">
        <v>1</v>
      </c>
      <c r="C28" s="3"/>
      <c r="D28" s="3"/>
      <c r="E28" s="2" t="s">
        <v>2</v>
      </c>
      <c r="F28" s="3"/>
      <c r="G28" s="4"/>
      <c r="H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4" t="s">
        <v>39</v>
      </c>
      <c r="B29" s="8" t="s">
        <v>5</v>
      </c>
      <c r="C29" s="8" t="s">
        <v>6</v>
      </c>
      <c r="D29" s="8" t="s">
        <v>7</v>
      </c>
      <c r="E29" s="8" t="s">
        <v>8</v>
      </c>
      <c r="F29" s="8" t="s">
        <v>9</v>
      </c>
      <c r="G29" s="4"/>
      <c r="H29" s="4"/>
      <c r="I29" s="2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 t="s">
        <v>10</v>
      </c>
      <c r="B30" s="12">
        <v>2024.0</v>
      </c>
      <c r="C30" s="12">
        <v>2023.0</v>
      </c>
      <c r="D30" s="13">
        <v>2022.0</v>
      </c>
      <c r="E30" s="14"/>
      <c r="F30" s="14"/>
      <c r="G30" s="4"/>
      <c r="H30" s="4"/>
      <c r="I30" s="20" t="s">
        <v>40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7" t="s">
        <v>12</v>
      </c>
      <c r="B31" s="18">
        <v>59.8</v>
      </c>
      <c r="C31" s="18">
        <v>57.03</v>
      </c>
      <c r="D31" s="18">
        <v>55.72</v>
      </c>
      <c r="E31" s="14"/>
      <c r="F31" s="14"/>
      <c r="G31" s="4"/>
      <c r="H31" s="4"/>
      <c r="I31" s="22" t="s">
        <v>41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7" t="s">
        <v>15</v>
      </c>
      <c r="B32" s="18">
        <v>28.95</v>
      </c>
      <c r="C32" s="18">
        <v>28.81</v>
      </c>
      <c r="D32" s="18">
        <v>32.5</v>
      </c>
      <c r="E32" s="14"/>
      <c r="F32" s="14"/>
      <c r="G32" s="4"/>
      <c r="H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7" t="s">
        <v>18</v>
      </c>
      <c r="B33" s="18">
        <v>23.37</v>
      </c>
      <c r="C33" s="18">
        <v>24.05</v>
      </c>
      <c r="D33" s="18">
        <v>40.75</v>
      </c>
      <c r="E33" s="14"/>
      <c r="F33" s="14"/>
      <c r="G33" s="4"/>
      <c r="H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7" t="s">
        <v>21</v>
      </c>
      <c r="B34" s="18">
        <v>28.52</v>
      </c>
      <c r="C34" s="18">
        <v>24.97</v>
      </c>
      <c r="D34" s="18">
        <v>23.13</v>
      </c>
      <c r="E34" s="14"/>
      <c r="F34" s="14"/>
      <c r="G34" s="4"/>
      <c r="H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7" t="s">
        <v>24</v>
      </c>
      <c r="B35" s="18">
        <v>25.07</v>
      </c>
      <c r="C35" s="18">
        <v>24.13</v>
      </c>
      <c r="D35" s="18">
        <v>25.19</v>
      </c>
      <c r="E35" s="14"/>
      <c r="F35" s="14"/>
      <c r="G35" s="4"/>
      <c r="H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23"/>
      <c r="C36" s="4"/>
      <c r="D36" s="4"/>
      <c r="E36" s="4"/>
      <c r="F36" s="4"/>
      <c r="G36" s="4"/>
      <c r="H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0</v>
      </c>
      <c r="B37" s="2" t="s">
        <v>1</v>
      </c>
      <c r="C37" s="3"/>
      <c r="D37" s="3"/>
      <c r="E37" s="2" t="s">
        <v>2</v>
      </c>
      <c r="F37" s="3"/>
      <c r="G37" s="4"/>
      <c r="H37" s="4"/>
      <c r="I37" s="20" t="s">
        <v>42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4" t="s">
        <v>43</v>
      </c>
      <c r="B38" s="8" t="s">
        <v>5</v>
      </c>
      <c r="C38" s="8" t="s">
        <v>6</v>
      </c>
      <c r="D38" s="8" t="s">
        <v>7</v>
      </c>
      <c r="E38" s="8" t="s">
        <v>8</v>
      </c>
      <c r="F38" s="8" t="s">
        <v>9</v>
      </c>
      <c r="G38" s="4"/>
      <c r="H38" s="4"/>
      <c r="I38" s="22" t="s">
        <v>44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" t="s">
        <v>10</v>
      </c>
      <c r="B39" s="12">
        <v>2024.0</v>
      </c>
      <c r="C39" s="12">
        <v>2023.0</v>
      </c>
      <c r="D39" s="13">
        <v>2022.0</v>
      </c>
      <c r="E39" s="14"/>
      <c r="F39" s="14"/>
      <c r="G39" s="4"/>
      <c r="H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7" t="s">
        <v>12</v>
      </c>
      <c r="B40" s="18">
        <v>44.0</v>
      </c>
      <c r="C40" s="18">
        <v>43.13</v>
      </c>
      <c r="D40" s="18">
        <v>39.34</v>
      </c>
      <c r="E40" s="14"/>
      <c r="F40" s="14"/>
      <c r="G40" s="4"/>
      <c r="H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7" t="s">
        <v>15</v>
      </c>
      <c r="B41" s="18">
        <v>20.34</v>
      </c>
      <c r="C41" s="18">
        <v>20.78</v>
      </c>
      <c r="D41" s="18">
        <v>22.83</v>
      </c>
      <c r="E41" s="14"/>
      <c r="F41" s="14"/>
      <c r="G41" s="4"/>
      <c r="H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7" t="s">
        <v>18</v>
      </c>
      <c r="B42" s="18">
        <v>19.14</v>
      </c>
      <c r="C42" s="18">
        <v>19.83</v>
      </c>
      <c r="D42" s="18">
        <v>36.51</v>
      </c>
      <c r="E42" s="14"/>
      <c r="F42" s="14"/>
      <c r="G42" s="4"/>
      <c r="H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7" t="s">
        <v>21</v>
      </c>
      <c r="B43" s="18">
        <v>26.48</v>
      </c>
      <c r="C43" s="18">
        <v>22.66</v>
      </c>
      <c r="D43" s="18">
        <v>20.65</v>
      </c>
      <c r="E43" s="14"/>
      <c r="F43" s="14"/>
      <c r="G43" s="4"/>
      <c r="H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7" t="s">
        <v>24</v>
      </c>
      <c r="B44" s="18">
        <v>23.26</v>
      </c>
      <c r="C44" s="18">
        <v>22.38</v>
      </c>
      <c r="D44" s="18">
        <v>23.18</v>
      </c>
      <c r="E44" s="14"/>
      <c r="F44" s="14"/>
      <c r="G44" s="4"/>
      <c r="H44" s="4"/>
      <c r="I44" s="20" t="s">
        <v>45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23"/>
      <c r="C45" s="4"/>
      <c r="D45" s="4"/>
      <c r="E45" s="4"/>
      <c r="F45" s="4"/>
      <c r="G45" s="4"/>
      <c r="H45" s="4"/>
      <c r="I45" s="25" t="s">
        <v>46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0</v>
      </c>
      <c r="B46" s="2" t="s">
        <v>1</v>
      </c>
      <c r="C46" s="3"/>
      <c r="D46" s="3"/>
      <c r="E46" s="2" t="s">
        <v>2</v>
      </c>
      <c r="F46" s="3"/>
      <c r="G46" s="4"/>
      <c r="H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4" t="s">
        <v>47</v>
      </c>
      <c r="B47" s="8" t="s">
        <v>5</v>
      </c>
      <c r="C47" s="8" t="s">
        <v>6</v>
      </c>
      <c r="D47" s="8" t="s">
        <v>7</v>
      </c>
      <c r="E47" s="8" t="s">
        <v>8</v>
      </c>
      <c r="F47" s="8" t="s">
        <v>9</v>
      </c>
      <c r="G47" s="4"/>
      <c r="H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" t="s">
        <v>10</v>
      </c>
      <c r="B48" s="12">
        <v>2024.0</v>
      </c>
      <c r="C48" s="12">
        <v>2023.0</v>
      </c>
      <c r="D48" s="13">
        <v>2022.0</v>
      </c>
      <c r="E48" s="14"/>
      <c r="F48" s="14"/>
      <c r="G48" s="4"/>
      <c r="H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7" t="s">
        <v>12</v>
      </c>
      <c r="B49" s="18">
        <v>31.23</v>
      </c>
      <c r="C49" s="18">
        <v>26.86</v>
      </c>
      <c r="D49" s="18">
        <v>36.53</v>
      </c>
      <c r="E49" s="14"/>
      <c r="F49" s="14"/>
      <c r="G49" s="4"/>
      <c r="H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7" t="s">
        <v>15</v>
      </c>
      <c r="B50" s="18">
        <v>11.16</v>
      </c>
      <c r="C50" s="18">
        <v>10.5</v>
      </c>
      <c r="D50" s="18">
        <v>13.87</v>
      </c>
      <c r="E50" s="14"/>
      <c r="F50" s="14"/>
      <c r="G50" s="4"/>
      <c r="H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7" t="s">
        <v>18</v>
      </c>
      <c r="B51" s="18">
        <v>3.4</v>
      </c>
      <c r="C51" s="18">
        <v>12.01</v>
      </c>
      <c r="D51" s="18">
        <v>25.58</v>
      </c>
      <c r="E51" s="14"/>
      <c r="F51" s="1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7" t="s">
        <v>21</v>
      </c>
      <c r="B52" s="18">
        <v>19.93</v>
      </c>
      <c r="C52" s="18">
        <v>17.03</v>
      </c>
      <c r="D52" s="18">
        <v>15.33</v>
      </c>
      <c r="E52" s="14"/>
      <c r="F52" s="1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7" t="s">
        <v>24</v>
      </c>
      <c r="B53" s="18">
        <v>16.72</v>
      </c>
      <c r="C53" s="18">
        <v>16.84</v>
      </c>
      <c r="D53" s="18">
        <v>17.22</v>
      </c>
      <c r="E53" s="14"/>
      <c r="F53" s="1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2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 t="s">
        <v>0</v>
      </c>
      <c r="B55" s="2" t="s">
        <v>1</v>
      </c>
      <c r="C55" s="3"/>
      <c r="D55" s="3"/>
      <c r="E55" s="2" t="s">
        <v>2</v>
      </c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4" t="s">
        <v>48</v>
      </c>
      <c r="B56" s="8" t="s">
        <v>5</v>
      </c>
      <c r="C56" s="8" t="s">
        <v>6</v>
      </c>
      <c r="D56" s="8" t="s">
        <v>7</v>
      </c>
      <c r="E56" s="8" t="s">
        <v>8</v>
      </c>
      <c r="F56" s="8" t="s">
        <v>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" t="s">
        <v>10</v>
      </c>
      <c r="B57" s="12">
        <v>2024.0</v>
      </c>
      <c r="C57" s="12">
        <v>2023.0</v>
      </c>
      <c r="D57" s="13">
        <v>2022.0</v>
      </c>
      <c r="E57" s="14"/>
      <c r="F57" s="1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7" t="s">
        <v>12</v>
      </c>
      <c r="B58" s="18">
        <v>1.58</v>
      </c>
      <c r="C58" s="18">
        <v>1.29</v>
      </c>
      <c r="D58" s="18">
        <v>0.98</v>
      </c>
      <c r="E58" s="14"/>
      <c r="F58" s="1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7" t="s">
        <v>15</v>
      </c>
      <c r="B59" s="18">
        <v>1.06</v>
      </c>
      <c r="C59" s="18">
        <v>1.04</v>
      </c>
      <c r="D59" s="18">
        <v>0.95</v>
      </c>
      <c r="E59" s="14"/>
      <c r="F59" s="1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7" t="s">
        <v>18</v>
      </c>
      <c r="B60" s="18">
        <v>0.73</v>
      </c>
      <c r="C60" s="18">
        <v>0.73</v>
      </c>
      <c r="D60" s="18">
        <v>0.58</v>
      </c>
      <c r="E60" s="14"/>
      <c r="F60" s="1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7" t="s">
        <v>21</v>
      </c>
      <c r="B61" s="18">
        <v>1.54</v>
      </c>
      <c r="C61" s="18">
        <v>1.46</v>
      </c>
      <c r="D61" s="18">
        <v>1.39</v>
      </c>
      <c r="E61" s="14"/>
      <c r="F61" s="1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7" t="s">
        <v>24</v>
      </c>
      <c r="B62" s="18">
        <v>1.64</v>
      </c>
      <c r="C62" s="18">
        <v>1.38</v>
      </c>
      <c r="D62" s="18">
        <v>1.34</v>
      </c>
      <c r="E62" s="14"/>
      <c r="F62" s="1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2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 t="s">
        <v>0</v>
      </c>
      <c r="B64" s="2" t="s">
        <v>1</v>
      </c>
      <c r="C64" s="3"/>
      <c r="D64" s="3"/>
      <c r="E64" s="2" t="s">
        <v>2</v>
      </c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4" t="s">
        <v>49</v>
      </c>
      <c r="B65" s="8" t="s">
        <v>5</v>
      </c>
      <c r="C65" s="8" t="s">
        <v>6</v>
      </c>
      <c r="D65" s="8" t="s">
        <v>7</v>
      </c>
      <c r="E65" s="8" t="s">
        <v>8</v>
      </c>
      <c r="F65" s="8" t="s">
        <v>9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" t="s">
        <v>10</v>
      </c>
      <c r="B66" s="12">
        <v>2024.0</v>
      </c>
      <c r="C66" s="12">
        <v>2023.0</v>
      </c>
      <c r="D66" s="13">
        <v>2022.0</v>
      </c>
      <c r="E66" s="14"/>
      <c r="F66" s="1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7" t="s">
        <v>12</v>
      </c>
      <c r="B67" s="18">
        <v>1.32</v>
      </c>
      <c r="C67" s="18">
        <v>1.09</v>
      </c>
      <c r="D67" s="18">
        <v>0.77</v>
      </c>
      <c r="E67" s="14"/>
      <c r="F67" s="1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7" t="s">
        <v>15</v>
      </c>
      <c r="B68" s="18">
        <v>0.85</v>
      </c>
      <c r="C68" s="18">
        <v>0.86</v>
      </c>
      <c r="D68" s="18">
        <v>0.8</v>
      </c>
      <c r="E68" s="14"/>
      <c r="F68" s="1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7" t="s">
        <v>18</v>
      </c>
      <c r="B69" s="18">
        <v>0.24</v>
      </c>
      <c r="C69" s="18">
        <v>0.28</v>
      </c>
      <c r="D69" s="18">
        <v>0.21</v>
      </c>
      <c r="E69" s="14"/>
      <c r="F69" s="1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7" t="s">
        <v>21</v>
      </c>
      <c r="B70" s="18">
        <v>1.2</v>
      </c>
      <c r="C70" s="18">
        <v>1.15</v>
      </c>
      <c r="D70" s="18">
        <v>1.11</v>
      </c>
      <c r="E70" s="14"/>
      <c r="F70" s="1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7" t="s">
        <v>24</v>
      </c>
      <c r="B71" s="18">
        <v>1.33</v>
      </c>
      <c r="C71" s="18">
        <v>1.03</v>
      </c>
      <c r="D71" s="18">
        <v>0.98</v>
      </c>
      <c r="E71" s="14"/>
      <c r="F71" s="1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2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 t="s">
        <v>0</v>
      </c>
      <c r="B73" s="2" t="s">
        <v>1</v>
      </c>
      <c r="C73" s="3"/>
      <c r="D73" s="3"/>
      <c r="E73" s="2" t="s">
        <v>2</v>
      </c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4" t="s">
        <v>50</v>
      </c>
      <c r="B74" s="8" t="s">
        <v>5</v>
      </c>
      <c r="C74" s="8" t="s">
        <v>6</v>
      </c>
      <c r="D74" s="8" t="s">
        <v>7</v>
      </c>
      <c r="E74" s="8" t="s">
        <v>8</v>
      </c>
      <c r="F74" s="8" t="s">
        <v>9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" t="s">
        <v>10</v>
      </c>
      <c r="B75" s="12">
        <v>2024.0</v>
      </c>
      <c r="C75" s="12">
        <v>2023.0</v>
      </c>
      <c r="D75" s="13">
        <v>2022.0</v>
      </c>
      <c r="E75" s="14"/>
      <c r="F75" s="1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7" t="s">
        <v>12</v>
      </c>
      <c r="B76" s="18">
        <v>0.02</v>
      </c>
      <c r="C76" s="18">
        <v>0.03</v>
      </c>
      <c r="D76" s="18">
        <v>0.03</v>
      </c>
      <c r="E76" s="14"/>
      <c r="F76" s="1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7" t="s">
        <v>15</v>
      </c>
      <c r="B77" s="18">
        <v>1.24</v>
      </c>
      <c r="C77" s="18">
        <v>1.33</v>
      </c>
      <c r="D77" s="18">
        <v>1.33</v>
      </c>
      <c r="E77" s="14"/>
      <c r="F77" s="1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7" t="s">
        <v>18</v>
      </c>
      <c r="B78" s="18">
        <v>0.29</v>
      </c>
      <c r="C78" s="18">
        <v>0.28</v>
      </c>
      <c r="D78" s="18">
        <v>0.26</v>
      </c>
      <c r="E78" s="14"/>
      <c r="F78" s="1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7" t="s">
        <v>21</v>
      </c>
      <c r="B79" s="18">
        <v>0.0</v>
      </c>
      <c r="C79" s="18">
        <v>0.0</v>
      </c>
      <c r="D79" s="18">
        <v>0.0</v>
      </c>
      <c r="E79" s="14"/>
      <c r="F79" s="1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7" t="s">
        <v>24</v>
      </c>
      <c r="B80" s="18">
        <v>0.0</v>
      </c>
      <c r="C80" s="18">
        <v>0.0</v>
      </c>
      <c r="D80" s="18">
        <v>0.0</v>
      </c>
      <c r="E80" s="14"/>
      <c r="F80" s="1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2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 t="s">
        <v>0</v>
      </c>
      <c r="B82" s="2" t="s">
        <v>1</v>
      </c>
      <c r="C82" s="3"/>
      <c r="D82" s="3"/>
      <c r="E82" s="2" t="s">
        <v>2</v>
      </c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4" t="s">
        <v>51</v>
      </c>
      <c r="B83" s="8" t="s">
        <v>5</v>
      </c>
      <c r="C83" s="8" t="s">
        <v>6</v>
      </c>
      <c r="D83" s="8" t="s">
        <v>7</v>
      </c>
      <c r="E83" s="8" t="s">
        <v>8</v>
      </c>
      <c r="F83" s="8" t="s">
        <v>9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" t="s">
        <v>10</v>
      </c>
      <c r="B84" s="12">
        <v>2024.0</v>
      </c>
      <c r="C84" s="12">
        <v>2023.0</v>
      </c>
      <c r="D84" s="13">
        <v>2022.0</v>
      </c>
      <c r="E84" s="14"/>
      <c r="F84" s="1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7" t="s">
        <v>12</v>
      </c>
      <c r="B85" s="18">
        <v>19.01</v>
      </c>
      <c r="C85" s="18">
        <v>30.53</v>
      </c>
      <c r="D85" s="18">
        <v>26.05</v>
      </c>
      <c r="E85" s="14"/>
      <c r="F85" s="1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7" t="s">
        <v>15</v>
      </c>
      <c r="B86" s="18">
        <v>4.58</v>
      </c>
      <c r="C86" s="18">
        <v>4.73</v>
      </c>
      <c r="D86" s="18">
        <v>5.14</v>
      </c>
      <c r="E86" s="14"/>
      <c r="F86" s="1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7" t="s">
        <v>18</v>
      </c>
      <c r="B87" s="18">
        <v>7.89</v>
      </c>
      <c r="C87" s="18">
        <v>8.18</v>
      </c>
      <c r="D87" s="18">
        <v>18.83</v>
      </c>
      <c r="E87" s="14"/>
      <c r="F87" s="1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7" t="s">
        <v>21</v>
      </c>
      <c r="B88" s="18">
        <v>819.66</v>
      </c>
      <c r="C88" s="18">
        <v>298.01</v>
      </c>
      <c r="D88" s="18">
        <v>730.48</v>
      </c>
      <c r="E88" s="14"/>
      <c r="F88" s="1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7" t="s">
        <v>24</v>
      </c>
      <c r="B89" s="18">
        <v>50.21</v>
      </c>
      <c r="C89" s="18">
        <v>141.31</v>
      </c>
      <c r="D89" s="18">
        <v>131.59</v>
      </c>
      <c r="E89" s="14"/>
      <c r="F89" s="1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2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 t="s">
        <v>0</v>
      </c>
      <c r="B92" s="2" t="s">
        <v>1</v>
      </c>
      <c r="C92" s="3"/>
      <c r="D92" s="3"/>
      <c r="E92" s="2" t="s">
        <v>2</v>
      </c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4" t="s">
        <v>51</v>
      </c>
      <c r="B93" s="8" t="s">
        <v>5</v>
      </c>
      <c r="C93" s="8" t="s">
        <v>6</v>
      </c>
      <c r="D93" s="8" t="s">
        <v>7</v>
      </c>
      <c r="E93" s="8" t="s">
        <v>8</v>
      </c>
      <c r="F93" s="8" t="s">
        <v>9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" t="s">
        <v>10</v>
      </c>
      <c r="B94" s="12">
        <v>2024.0</v>
      </c>
      <c r="C94" s="12">
        <v>2023.0</v>
      </c>
      <c r="D94" s="13">
        <v>2022.0</v>
      </c>
      <c r="E94" s="14"/>
      <c r="F94" s="1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7" t="s">
        <v>12</v>
      </c>
      <c r="B95" s="18">
        <v>19.01</v>
      </c>
      <c r="C95" s="18">
        <v>30.53</v>
      </c>
      <c r="D95" s="18">
        <v>26.05</v>
      </c>
      <c r="E95" s="14"/>
      <c r="F95" s="1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7" t="s">
        <v>15</v>
      </c>
      <c r="B96" s="18">
        <v>4.58</v>
      </c>
      <c r="C96" s="18">
        <v>4.73</v>
      </c>
      <c r="D96" s="18">
        <v>5.14</v>
      </c>
      <c r="E96" s="14"/>
      <c r="F96" s="1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7" t="s">
        <v>18</v>
      </c>
      <c r="B97" s="18">
        <v>7.89</v>
      </c>
      <c r="C97" s="18">
        <v>8.18</v>
      </c>
      <c r="D97" s="18">
        <v>18.83</v>
      </c>
      <c r="E97" s="14"/>
      <c r="F97" s="1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7" t="s">
        <v>21</v>
      </c>
      <c r="B98" s="18">
        <v>819.66</v>
      </c>
      <c r="C98" s="18">
        <v>298.01</v>
      </c>
      <c r="D98" s="18">
        <v>730.48</v>
      </c>
      <c r="E98" s="14"/>
      <c r="F98" s="1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7" t="s">
        <v>24</v>
      </c>
      <c r="B99" s="18">
        <v>50.21</v>
      </c>
      <c r="C99" s="18">
        <v>141.31</v>
      </c>
      <c r="D99" s="18">
        <v>131.59</v>
      </c>
      <c r="E99" s="14"/>
      <c r="F99" s="1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2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 t="s">
        <v>0</v>
      </c>
      <c r="B101" s="2" t="s">
        <v>1</v>
      </c>
      <c r="C101" s="3"/>
      <c r="D101" s="3"/>
      <c r="E101" s="2" t="s">
        <v>2</v>
      </c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4" t="s">
        <v>52</v>
      </c>
      <c r="B102" s="8" t="s">
        <v>5</v>
      </c>
      <c r="C102" s="8" t="s">
        <v>6</v>
      </c>
      <c r="D102" s="8" t="s">
        <v>7</v>
      </c>
      <c r="E102" s="8" t="s">
        <v>8</v>
      </c>
      <c r="F102" s="8" t="s">
        <v>9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" t="s">
        <v>10</v>
      </c>
      <c r="B103" s="12">
        <v>2024.0</v>
      </c>
      <c r="C103" s="12">
        <v>2023.0</v>
      </c>
      <c r="D103" s="13">
        <v>2022.0</v>
      </c>
      <c r="E103" s="14"/>
      <c r="F103" s="1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7" t="s">
        <v>12</v>
      </c>
      <c r="B104" s="18">
        <v>129741.0</v>
      </c>
      <c r="C104" s="18">
        <v>144513.0</v>
      </c>
      <c r="D104" s="18">
        <v>110318.0</v>
      </c>
      <c r="E104" s="14"/>
      <c r="F104" s="1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7" t="s">
        <v>15</v>
      </c>
      <c r="B105" s="18">
        <v>161985.0</v>
      </c>
      <c r="C105" s="18">
        <v>163769.0</v>
      </c>
      <c r="D105" s="18">
        <v>116137.0</v>
      </c>
      <c r="E105" s="14"/>
      <c r="F105" s="1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7" t="s">
        <v>18</v>
      </c>
      <c r="B106" s="18">
        <v>140987.0</v>
      </c>
      <c r="C106" s="18">
        <v>129006.0</v>
      </c>
      <c r="D106" s="18">
        <v>129021.0</v>
      </c>
      <c r="E106" s="14"/>
      <c r="F106" s="1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7" t="s">
        <v>21</v>
      </c>
      <c r="B107" s="18">
        <v>20169.0</v>
      </c>
      <c r="C107" s="18">
        <v>17646.0</v>
      </c>
      <c r="D107" s="18">
        <v>15313.0</v>
      </c>
      <c r="E107" s="14"/>
      <c r="F107" s="1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7" t="s">
        <v>24</v>
      </c>
      <c r="B108" s="18">
        <v>60469.0</v>
      </c>
      <c r="C108" s="18">
        <v>59144.0</v>
      </c>
      <c r="D108" s="18">
        <v>51193.0</v>
      </c>
      <c r="E108" s="14"/>
      <c r="F108" s="1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 t="s">
        <v>0</v>
      </c>
      <c r="B110" s="2" t="s">
        <v>1</v>
      </c>
      <c r="C110" s="3"/>
      <c r="D110" s="3"/>
      <c r="E110" s="2" t="s">
        <v>2</v>
      </c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4" t="s">
        <v>53</v>
      </c>
      <c r="B111" s="8" t="s">
        <v>5</v>
      </c>
      <c r="C111" s="8" t="s">
        <v>6</v>
      </c>
      <c r="D111" s="8" t="s">
        <v>7</v>
      </c>
      <c r="E111" s="8" t="s">
        <v>8</v>
      </c>
      <c r="F111" s="8" t="s">
        <v>9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" t="s">
        <v>10</v>
      </c>
      <c r="B112" s="12">
        <v>2024.0</v>
      </c>
      <c r="C112" s="12">
        <v>2023.0</v>
      </c>
      <c r="D112" s="13">
        <v>2022.0</v>
      </c>
      <c r="E112" s="14"/>
      <c r="F112" s="1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7" t="s">
        <v>12</v>
      </c>
      <c r="B113" s="18">
        <v>40525.0</v>
      </c>
      <c r="C113" s="18">
        <v>38828.0</v>
      </c>
      <c r="D113" s="18">
        <v>40305.0</v>
      </c>
      <c r="E113" s="14"/>
      <c r="F113" s="1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7" t="s">
        <v>15</v>
      </c>
      <c r="B114" s="18">
        <v>18079.0</v>
      </c>
      <c r="C114" s="18">
        <v>17196.0</v>
      </c>
      <c r="D114" s="18">
        <v>16111.0</v>
      </c>
      <c r="E114" s="14"/>
      <c r="F114" s="1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7" t="s">
        <v>18</v>
      </c>
      <c r="B115" s="18">
        <v>4807.0</v>
      </c>
      <c r="C115" s="18">
        <v>15495.0</v>
      </c>
      <c r="D115" s="18">
        <v>33011.0</v>
      </c>
      <c r="E115" s="14"/>
      <c r="F115" s="1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7" t="s">
        <v>21</v>
      </c>
      <c r="B116" s="18">
        <v>4020.0</v>
      </c>
      <c r="C116" s="18">
        <v>3006.0</v>
      </c>
      <c r="D116" s="18">
        <v>2348.0</v>
      </c>
      <c r="E116" s="14"/>
      <c r="F116" s="1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7" t="s">
        <v>24</v>
      </c>
      <c r="B117" s="18">
        <v>10114.0</v>
      </c>
      <c r="C117" s="18">
        <v>9962.0</v>
      </c>
      <c r="D117" s="18">
        <v>8818.0</v>
      </c>
      <c r="E117" s="14"/>
      <c r="F117" s="1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2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" t="s">
        <v>0</v>
      </c>
      <c r="B119" s="2" t="s">
        <v>1</v>
      </c>
      <c r="C119" s="3"/>
      <c r="D119" s="3"/>
      <c r="E119" s="2" t="s">
        <v>2</v>
      </c>
      <c r="F119" s="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4" t="s">
        <v>54</v>
      </c>
      <c r="B120" s="8" t="s">
        <v>5</v>
      </c>
      <c r="C120" s="8" t="s">
        <v>6</v>
      </c>
      <c r="D120" s="8" t="s">
        <v>7</v>
      </c>
      <c r="E120" s="8" t="s">
        <v>8</v>
      </c>
      <c r="F120" s="8" t="s">
        <v>9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1" t="s">
        <v>10</v>
      </c>
      <c r="B121" s="12">
        <v>2024.0</v>
      </c>
      <c r="C121" s="12">
        <v>2023.0</v>
      </c>
      <c r="D121" s="13">
        <v>2022.0</v>
      </c>
      <c r="E121" s="14"/>
      <c r="F121" s="1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7" t="s">
        <v>12</v>
      </c>
      <c r="B122" s="18">
        <f>B113/(3988.25+6290.14)</f>
        <v>3.942738114</v>
      </c>
      <c r="C122" s="18">
        <f>C113/(3949.93+6290.14)</f>
        <v>3.791770955</v>
      </c>
      <c r="D122" s="18">
        <f>D113/(6396.9+6290.14)</f>
        <v>3.176863949</v>
      </c>
      <c r="E122" s="14"/>
      <c r="F122" s="1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7" t="s">
        <v>15</v>
      </c>
      <c r="B123" s="18">
        <f>B114/(146159.07+9696.67)</f>
        <v>0.1159982943</v>
      </c>
      <c r="C123" s="18">
        <f>C114/(156315.69+9696.67)</f>
        <v>0.1035826489</v>
      </c>
      <c r="D123" s="18">
        <f>D114/(147374.75+9696.67)</f>
        <v>0.1025711743</v>
      </c>
      <c r="E123" s="14"/>
      <c r="F123" s="1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7" t="s">
        <v>18</v>
      </c>
      <c r="B124" s="18">
        <f>B115/(36715.91+1248.6)</f>
        <v>0.1266182548</v>
      </c>
      <c r="C124" s="18">
        <f>C115/(30880.89+1222.4)</f>
        <v>0.4826608114</v>
      </c>
      <c r="D124" s="18">
        <f>D115/(20290.81+1222.37)</f>
        <v>1.534454692</v>
      </c>
      <c r="E124" s="14"/>
      <c r="F124" s="1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7" t="s">
        <v>21</v>
      </c>
      <c r="B125" s="18">
        <f t="shared" ref="B125:C125" si="1">B116/(0+730.98)</f>
        <v>5.49946647</v>
      </c>
      <c r="C125" s="18">
        <f t="shared" si="1"/>
        <v>4.112287614</v>
      </c>
      <c r="D125" s="18">
        <f>D116/(0+243.66)</f>
        <v>9.63637856</v>
      </c>
      <c r="E125" s="14"/>
      <c r="F125" s="1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7" t="s">
        <v>24</v>
      </c>
      <c r="B126" s="18">
        <f t="shared" ref="B126:D126" si="2">B117/(0+235)</f>
        <v>43.03829787</v>
      </c>
      <c r="C126" s="18">
        <f t="shared" si="2"/>
        <v>42.39148936</v>
      </c>
      <c r="D126" s="18">
        <f t="shared" si="2"/>
        <v>37.52340426</v>
      </c>
      <c r="E126" s="14"/>
      <c r="F126" s="1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6" t="s">
        <v>55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7" t="s">
        <v>56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4">
    <mergeCell ref="I23:I28"/>
    <mergeCell ref="I31:I36"/>
    <mergeCell ref="I38:I43"/>
    <mergeCell ref="I45:I50"/>
    <mergeCell ref="B1:D1"/>
    <mergeCell ref="E1:F1"/>
    <mergeCell ref="B10:D10"/>
    <mergeCell ref="E10:F10"/>
    <mergeCell ref="I17:I20"/>
    <mergeCell ref="E19:F19"/>
    <mergeCell ref="E28:F28"/>
    <mergeCell ref="B19:D19"/>
    <mergeCell ref="B28:D28"/>
    <mergeCell ref="B37:D37"/>
    <mergeCell ref="E37:F37"/>
    <mergeCell ref="B46:D46"/>
    <mergeCell ref="E46:F46"/>
    <mergeCell ref="E55:F55"/>
    <mergeCell ref="B55:D55"/>
    <mergeCell ref="B64:D64"/>
    <mergeCell ref="E64:F64"/>
    <mergeCell ref="B73:D73"/>
    <mergeCell ref="E73:F73"/>
    <mergeCell ref="B82:D82"/>
    <mergeCell ref="E82:F82"/>
    <mergeCell ref="B119:D119"/>
    <mergeCell ref="A129:G129"/>
    <mergeCell ref="B92:D92"/>
    <mergeCell ref="E92:F92"/>
    <mergeCell ref="B101:D101"/>
    <mergeCell ref="E101:F101"/>
    <mergeCell ref="B110:D110"/>
    <mergeCell ref="E110:F110"/>
    <mergeCell ref="E119:F1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4" max="4" width="17.38"/>
  </cols>
  <sheetData>
    <row r="1">
      <c r="A1" s="28" t="s">
        <v>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9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0" t="s">
        <v>59</v>
      </c>
      <c r="E6" s="31"/>
      <c r="F6" s="31"/>
      <c r="G6" s="3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2" t="s">
        <v>60</v>
      </c>
      <c r="B7" s="33">
        <v>2024.0</v>
      </c>
      <c r="C7" s="33">
        <v>2023.0</v>
      </c>
      <c r="D7" s="34">
        <v>2022.0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5" t="s">
        <v>61</v>
      </c>
      <c r="B8" s="36">
        <v>71758.0</v>
      </c>
      <c r="C8" s="36">
        <v>74172.0</v>
      </c>
      <c r="D8" s="36">
        <v>76807.0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7" t="s">
        <v>62</v>
      </c>
      <c r="B9" s="37">
        <v>119.44</v>
      </c>
      <c r="C9" s="37">
        <v>106.88</v>
      </c>
      <c r="D9" s="37">
        <v>103.24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7" t="s">
        <v>63</v>
      </c>
      <c r="B10" s="37">
        <v>199.23</v>
      </c>
      <c r="C10" s="37">
        <v>203.66</v>
      </c>
      <c r="D10" s="37">
        <v>210.86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7" t="s">
        <v>64</v>
      </c>
      <c r="B11" s="37" t="s">
        <v>65</v>
      </c>
      <c r="C11" s="37" t="s">
        <v>66</v>
      </c>
      <c r="D11" s="37" t="s">
        <v>67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7" t="s">
        <v>68</v>
      </c>
      <c r="B12" s="36">
        <v>209632.0</v>
      </c>
      <c r="C12" s="36">
        <v>195682.0</v>
      </c>
      <c r="D12" s="36">
        <v>167827.0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7" t="s">
        <v>69</v>
      </c>
      <c r="B13" s="36">
        <v>43559.0</v>
      </c>
      <c r="C13" s="36">
        <v>39106.0</v>
      </c>
      <c r="D13" s="36">
        <v>38187.0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7" t="s">
        <v>70</v>
      </c>
      <c r="B14" s="38">
        <v>73.0</v>
      </c>
      <c r="C14" s="38">
        <v>115.0</v>
      </c>
      <c r="D14" s="38">
        <v>43.0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7" t="s">
        <v>71</v>
      </c>
      <c r="B15" s="37">
        <v>32.45</v>
      </c>
      <c r="C15" s="37">
        <v>30.0</v>
      </c>
      <c r="D15" s="37">
        <v>36.23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7" t="s">
        <v>72</v>
      </c>
      <c r="B16" s="36">
        <f>        3618087518/10^7</f>
        <v>361.8087518</v>
      </c>
      <c r="C16" s="36">
        <f t="shared" ref="C16:D16" si="1">        3659051373/10^7</f>
        <v>365.9051373</v>
      </c>
      <c r="D16" s="36">
        <f t="shared" si="1"/>
        <v>365.9051373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9" t="s">
        <v>73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0" t="s">
        <v>59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2" t="s">
        <v>60</v>
      </c>
      <c r="B21" s="33">
        <v>2024.0</v>
      </c>
      <c r="C21" s="33">
        <v>2023.0</v>
      </c>
      <c r="D21" s="34">
        <v>2022.0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5" t="s">
        <v>61</v>
      </c>
      <c r="B22" s="36">
        <v>436833.4</v>
      </c>
      <c r="C22" s="36">
        <v>279641.03</v>
      </c>
      <c r="D22" s="36">
        <v>239538.38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7" t="s">
        <v>62</v>
      </c>
      <c r="B23" s="37">
        <v>85.83</v>
      </c>
      <c r="C23" s="37">
        <v>79.25</v>
      </c>
      <c r="D23" s="37">
        <v>66.8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7" t="s">
        <v>63</v>
      </c>
      <c r="B24" s="37">
        <v>579.51</v>
      </c>
      <c r="C24" s="37">
        <v>502.17</v>
      </c>
      <c r="D24" s="37">
        <v>432.95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7" t="s">
        <v>64</v>
      </c>
      <c r="B25" s="37" t="s">
        <v>74</v>
      </c>
      <c r="C25" s="37" t="s">
        <v>75</v>
      </c>
      <c r="D25" s="37" t="s">
        <v>67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7" t="s">
        <v>68</v>
      </c>
      <c r="B26" s="36">
        <v>307581.57</v>
      </c>
      <c r="C26" s="36">
        <v>192800.36</v>
      </c>
      <c r="D26" s="36">
        <v>157263.02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7" t="s">
        <v>69</v>
      </c>
      <c r="B27" s="36">
        <v>60812.28</v>
      </c>
      <c r="C27" s="36">
        <v>44108.7</v>
      </c>
      <c r="D27" s="36">
        <v>36961.36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7" t="s">
        <v>70</v>
      </c>
      <c r="B28" s="38">
        <v>19.5</v>
      </c>
      <c r="C28" s="38">
        <v>19.0</v>
      </c>
      <c r="D28" s="38">
        <v>15.5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7" t="s">
        <v>71</v>
      </c>
      <c r="B29" s="37">
        <v>16.87</v>
      </c>
      <c r="C29" s="37">
        <v>20.31</v>
      </c>
      <c r="D29" s="37">
        <v>22.01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7" t="s">
        <v>72</v>
      </c>
      <c r="B30" s="36">
        <f>        7596910662/10^7</f>
        <v>759.6910662</v>
      </c>
      <c r="C30" s="36">
        <f>        5579742786/10^7</f>
        <v>557.9742786</v>
      </c>
      <c r="D30" s="36">
        <f>        5545540976/10^7</f>
        <v>554.5540976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9" t="s">
        <v>76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0" t="s">
        <v>59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2" t="s">
        <v>60</v>
      </c>
      <c r="B35" s="33">
        <v>2024.0</v>
      </c>
      <c r="C35" s="33">
        <v>2023.0</v>
      </c>
      <c r="D35" s="34">
        <v>2022.0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5" t="s">
        <v>61</v>
      </c>
      <c r="B36" s="36">
        <v>3244.47</v>
      </c>
      <c r="C36" s="36">
        <v>2996.33</v>
      </c>
      <c r="D36" s="36">
        <v>2362.75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7" t="s">
        <v>62</v>
      </c>
      <c r="B37" s="37">
        <v>40.79</v>
      </c>
      <c r="C37" s="37">
        <v>31.1</v>
      </c>
      <c r="D37" s="37">
        <v>247.94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7" t="s">
        <v>63</v>
      </c>
      <c r="B38" s="37">
        <v>34.65</v>
      </c>
      <c r="C38" s="37">
        <v>320.76</v>
      </c>
      <c r="D38" s="37">
        <v>255.05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7" t="s">
        <v>64</v>
      </c>
      <c r="B39" s="37" t="s">
        <v>77</v>
      </c>
      <c r="C39" s="37" t="s">
        <v>78</v>
      </c>
      <c r="D39" s="37" t="s">
        <v>67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7" t="s">
        <v>68</v>
      </c>
      <c r="B40" s="36">
        <v>24541.85</v>
      </c>
      <c r="C40" s="36">
        <v>19247.51</v>
      </c>
      <c r="D40" s="36">
        <v>16997.96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7" t="s">
        <v>69</v>
      </c>
      <c r="B41" s="36">
        <v>3932.84</v>
      </c>
      <c r="C41" s="36">
        <v>2998.67</v>
      </c>
      <c r="D41" s="36">
        <v>2390.52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7" t="s">
        <v>70</v>
      </c>
      <c r="B42" s="38">
        <v>32.2</v>
      </c>
      <c r="C42" s="38">
        <v>167.0</v>
      </c>
      <c r="D42" s="38">
        <v>220.0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7" t="s">
        <v>71</v>
      </c>
      <c r="B43" s="37">
        <v>64.29</v>
      </c>
      <c r="C43" s="37">
        <v>0.0</v>
      </c>
      <c r="D43" s="37">
        <v>0.0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7" t="s">
        <v>72</v>
      </c>
      <c r="B44" s="36">
        <f>        964157160/10^7</f>
        <v>96.415716</v>
      </c>
      <c r="C44" s="36">
        <f t="shared" ref="C44:D44" si="2">   96415716/10^7</f>
        <v>9.6415716</v>
      </c>
      <c r="D44" s="36">
        <f t="shared" si="2"/>
        <v>9.6415716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9" t="s">
        <v>79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0" t="s">
        <v>59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2" t="s">
        <v>60</v>
      </c>
      <c r="B49" s="33">
        <v>2024.0</v>
      </c>
      <c r="C49" s="33">
        <v>2023.0</v>
      </c>
      <c r="D49" s="34">
        <v>2022.0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5" t="s">
        <v>61</v>
      </c>
      <c r="B50" s="36">
        <v>15468.1</v>
      </c>
      <c r="C50" s="36">
        <v>13380.03</v>
      </c>
      <c r="D50" s="36">
        <v>10560.24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7" t="s">
        <v>62</v>
      </c>
      <c r="B51" s="37">
        <v>6.97</v>
      </c>
      <c r="C51" s="37">
        <v>10.22</v>
      </c>
      <c r="D51" s="37">
        <v>8.61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7" t="s">
        <v>63</v>
      </c>
      <c r="B52" s="37">
        <v>49.4</v>
      </c>
      <c r="C52" s="37">
        <v>42.87</v>
      </c>
      <c r="D52" s="37">
        <v>34.05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7" t="s">
        <v>64</v>
      </c>
      <c r="B53" s="37" t="s">
        <v>80</v>
      </c>
      <c r="C53" s="37" t="s">
        <v>81</v>
      </c>
      <c r="D53" s="37" t="s">
        <v>67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7" t="s">
        <v>68</v>
      </c>
      <c r="B54" s="36">
        <v>21945.75</v>
      </c>
      <c r="C54" s="36">
        <v>21813.17</v>
      </c>
      <c r="D54" s="36">
        <v>14095.04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7" t="s">
        <v>69</v>
      </c>
      <c r="B55" s="36">
        <v>2229.86</v>
      </c>
      <c r="C55" s="36">
        <v>3267.9</v>
      </c>
      <c r="D55" s="36">
        <v>2782.93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7" t="s">
        <v>70</v>
      </c>
      <c r="B56" s="38">
        <v>2.0</v>
      </c>
      <c r="C56" s="38">
        <v>2.0</v>
      </c>
      <c r="D56" s="38">
        <v>1.75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7" t="s">
        <v>71</v>
      </c>
      <c r="B57" s="37">
        <v>56.56</v>
      </c>
      <c r="C57" s="37">
        <v>18.62</v>
      </c>
      <c r="D57" s="37">
        <v>27.72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7" t="s">
        <v>72</v>
      </c>
      <c r="B58" s="36">
        <f t="shared" ref="B58:D58" si="3">        3195339547/10^7</f>
        <v>319.5339547</v>
      </c>
      <c r="C58" s="36">
        <f t="shared" si="3"/>
        <v>319.5339547</v>
      </c>
      <c r="D58" s="36">
        <f t="shared" si="3"/>
        <v>319.5339547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9" t="s">
        <v>82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0" t="s">
        <v>59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2" t="s">
        <v>60</v>
      </c>
      <c r="B63" s="33">
        <v>2024.0</v>
      </c>
      <c r="C63" s="33">
        <v>2023.0</v>
      </c>
      <c r="D63" s="34">
        <v>2022.0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5" t="s">
        <v>61</v>
      </c>
      <c r="B64" s="36">
        <v>64015.42</v>
      </c>
      <c r="C64" s="36">
        <v>71172.23</v>
      </c>
      <c r="D64" s="36">
        <v>66743.66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7" t="s">
        <v>62</v>
      </c>
      <c r="B65" s="37">
        <v>66.95</v>
      </c>
      <c r="C65" s="37">
        <v>55.85</v>
      </c>
      <c r="D65" s="37">
        <v>56.09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7" t="s">
        <v>63</v>
      </c>
      <c r="B66" s="37">
        <v>468.6</v>
      </c>
      <c r="C66" s="37">
        <v>508.91</v>
      </c>
      <c r="D66" s="37">
        <v>477.66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7" t="s">
        <v>64</v>
      </c>
      <c r="B67" s="37" t="s">
        <v>83</v>
      </c>
      <c r="C67" s="37" t="s">
        <v>84</v>
      </c>
      <c r="D67" s="37" t="s">
        <v>67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7" t="s">
        <v>68</v>
      </c>
      <c r="B68" s="36">
        <v>131576.45</v>
      </c>
      <c r="C68" s="36">
        <v>114535.93</v>
      </c>
      <c r="D68" s="36">
        <v>104613.06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7" t="s">
        <v>69</v>
      </c>
      <c r="B69" s="36">
        <v>9304.33</v>
      </c>
      <c r="C69" s="36">
        <v>7848.97</v>
      </c>
      <c r="D69" s="36">
        <v>7879.45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7" t="s">
        <v>70</v>
      </c>
      <c r="B70" s="38">
        <v>34.0</v>
      </c>
      <c r="C70" s="38">
        <v>24.0</v>
      </c>
      <c r="D70" s="38">
        <v>22.0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7" t="s">
        <v>71</v>
      </c>
      <c r="B71" s="37">
        <v>56.22</v>
      </c>
      <c r="C71" s="37">
        <v>38.75</v>
      </c>
      <c r="D71" s="37">
        <v>31.51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7" t="s">
        <v>72</v>
      </c>
      <c r="B72" s="36">
        <f>        1374668619/10^7</f>
        <v>137.4668619</v>
      </c>
      <c r="C72" s="36">
        <f>   1405482190/10^7</f>
        <v>140.548219</v>
      </c>
      <c r="D72" s="36">
        <f>       1045029123/10^7</f>
        <v>104.5029123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9" t="s">
        <v>85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0" t="s">
        <v>59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2" t="s">
        <v>60</v>
      </c>
      <c r="B77" s="33">
        <v>2024.0</v>
      </c>
      <c r="C77" s="33">
        <v>2023.0</v>
      </c>
      <c r="D77" s="34">
        <v>2022.0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5" t="s">
        <v>61</v>
      </c>
      <c r="B78" s="36">
        <v>24157.4</v>
      </c>
      <c r="C78" s="36">
        <v>20390.9</v>
      </c>
      <c r="D78" s="36">
        <v>18253.0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7" t="s">
        <v>62</v>
      </c>
      <c r="B79" s="37">
        <v>260.95</v>
      </c>
      <c r="C79" s="37">
        <v>157.37</v>
      </c>
      <c r="D79" s="37">
        <v>97.85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7" t="s">
        <v>63</v>
      </c>
      <c r="B80" s="37">
        <v>1453.29</v>
      </c>
      <c r="C80" s="37">
        <v>1228.94</v>
      </c>
      <c r="D80" s="37">
        <v>1101.94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7" t="s">
        <v>64</v>
      </c>
      <c r="B81" s="37" t="s">
        <v>86</v>
      </c>
      <c r="C81" s="37" t="s">
        <v>87</v>
      </c>
      <c r="D81" s="37" t="s">
        <v>67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7" t="s">
        <v>68</v>
      </c>
      <c r="B82" s="36">
        <v>20346.1</v>
      </c>
      <c r="C82" s="36">
        <v>17553.8</v>
      </c>
      <c r="D82" s="36">
        <v>14887.2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7" t="s">
        <v>69</v>
      </c>
      <c r="B83" s="36">
        <v>4342.0</v>
      </c>
      <c r="C83" s="36">
        <v>2612.8</v>
      </c>
      <c r="D83" s="36">
        <v>1623.2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7" t="s">
        <v>70</v>
      </c>
      <c r="B84" s="38">
        <v>40.0</v>
      </c>
      <c r="C84" s="38">
        <v>40.0</v>
      </c>
      <c r="D84" s="38">
        <v>30.0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7" t="s">
        <v>71</v>
      </c>
      <c r="B85" s="37">
        <v>4.72</v>
      </c>
      <c r="C85" s="37">
        <v>5.88</v>
      </c>
      <c r="D85" s="37">
        <v>8.78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7" t="s">
        <v>72</v>
      </c>
      <c r="B86" s="36">
        <f>        166818266/10^7</f>
        <v>16.6818266</v>
      </c>
      <c r="C86" s="36">
        <f>   166527876/10^7</f>
        <v>16.6527876</v>
      </c>
      <c r="D86" s="36">
        <f>       166425849/10^7</f>
        <v>16.6425849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9" t="s">
        <v>88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0" t="s">
        <v>59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2" t="s">
        <v>60</v>
      </c>
      <c r="B91" s="33">
        <v>2024.0</v>
      </c>
      <c r="C91" s="33">
        <v>2023.0</v>
      </c>
      <c r="D91" s="34">
        <v>2022.0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5" t="s">
        <v>61</v>
      </c>
      <c r="B92" s="36">
        <v>51378.18</v>
      </c>
      <c r="C92" s="36">
        <v>42497.35</v>
      </c>
      <c r="D92" s="36">
        <v>38139.19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7" t="s">
        <v>62</v>
      </c>
      <c r="B93" s="37">
        <v>89.42</v>
      </c>
      <c r="C93" s="37">
        <v>54.7</v>
      </c>
      <c r="D93" s="37">
        <v>41.28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7" t="s">
        <v>63</v>
      </c>
      <c r="B94" s="37">
        <v>435.95</v>
      </c>
      <c r="C94" s="37">
        <v>361.88</v>
      </c>
      <c r="D94" s="37">
        <v>325.6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7" t="s">
        <v>64</v>
      </c>
      <c r="B95" s="37" t="s">
        <v>89</v>
      </c>
      <c r="C95" s="37" t="s">
        <v>90</v>
      </c>
      <c r="D95" s="37" t="s">
        <v>67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7" t="s">
        <v>68</v>
      </c>
      <c r="B96" s="36">
        <v>102904.58</v>
      </c>
      <c r="C96" s="36">
        <v>87505.43</v>
      </c>
      <c r="D96" s="36">
        <v>59521.87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7" t="s">
        <v>69</v>
      </c>
      <c r="B97" s="36">
        <v>10717.8</v>
      </c>
      <c r="C97" s="36">
        <v>6548.64</v>
      </c>
      <c r="D97" s="36">
        <v>4935.22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7" t="s">
        <v>70</v>
      </c>
      <c r="B98" s="38">
        <v>21.1</v>
      </c>
      <c r="C98" s="38">
        <v>16.25</v>
      </c>
      <c r="D98" s="38">
        <v>11.55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7" t="s">
        <v>71</v>
      </c>
      <c r="B99" s="37">
        <v>21.49</v>
      </c>
      <c r="C99" s="37">
        <v>21.18</v>
      </c>
      <c r="D99" s="37">
        <v>19.54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7" t="s">
        <v>72</v>
      </c>
      <c r="B100" s="36">
        <f>        1199246200/10^7</f>
        <v>119.92462</v>
      </c>
      <c r="C100" s="36">
        <f>   1198118224/10^7</f>
        <v>119.8118224</v>
      </c>
      <c r="D100" s="36">
        <f>       1196601243/10^7</f>
        <v>119.6601243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9" t="s">
        <v>91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0" t="s">
        <v>59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2" t="s">
        <v>60</v>
      </c>
      <c r="B105" s="33">
        <v>2024.0</v>
      </c>
      <c r="C105" s="33">
        <v>2023.0</v>
      </c>
      <c r="D105" s="34">
        <v>2022.0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5" t="s">
        <v>61</v>
      </c>
      <c r="B106" s="36">
        <v>97985.3</v>
      </c>
      <c r="C106" s="36">
        <v>75639.3</v>
      </c>
      <c r="D106" s="36">
        <v>76134.8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7" t="s">
        <v>62</v>
      </c>
      <c r="B107" s="37">
        <v>8.74</v>
      </c>
      <c r="C107" s="37">
        <v>-0.16</v>
      </c>
      <c r="D107" s="37">
        <v>-6.53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7" t="s">
        <v>63</v>
      </c>
      <c r="B108" s="37">
        <v>175.31</v>
      </c>
      <c r="C108" s="37">
        <v>138.62</v>
      </c>
      <c r="D108" s="37">
        <v>141.2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7" t="s">
        <v>64</v>
      </c>
      <c r="B109" s="37" t="s">
        <v>92</v>
      </c>
      <c r="C109" s="37" t="s">
        <v>93</v>
      </c>
      <c r="D109" s="37" t="s">
        <v>67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7" t="s">
        <v>68</v>
      </c>
      <c r="B110" s="36">
        <v>95509.9</v>
      </c>
      <c r="C110" s="36">
        <v>87353.9</v>
      </c>
      <c r="D110" s="36">
        <v>72064.7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7" t="s">
        <v>69</v>
      </c>
      <c r="B111" s="36">
        <v>4988.2</v>
      </c>
      <c r="C111" s="36">
        <v>-89.6</v>
      </c>
      <c r="D111" s="36">
        <v>-3625.0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7" t="s">
        <v>70</v>
      </c>
      <c r="B112" s="38">
        <v>8.0</v>
      </c>
      <c r="C112" s="38">
        <v>4.0</v>
      </c>
      <c r="D112" s="38">
        <v>3.0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7" t="s">
        <v>71</v>
      </c>
      <c r="B113" s="36">
        <v>140.57</v>
      </c>
      <c r="C113" s="36">
        <v>-4681.25</v>
      </c>
      <c r="D113" s="36">
        <v>-115.61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7" t="s">
        <v>72</v>
      </c>
      <c r="B114" s="36">
        <f t="shared" ref="B114:D114" si="4">        392287662/10^7</f>
        <v>39.2287662</v>
      </c>
      <c r="C114" s="36">
        <f t="shared" si="4"/>
        <v>39.2287662</v>
      </c>
      <c r="D114" s="36">
        <f t="shared" si="4"/>
        <v>39.2287662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9" t="s">
        <v>94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0" t="s">
        <v>59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2" t="s">
        <v>60</v>
      </c>
      <c r="B119" s="33">
        <v>2024.0</v>
      </c>
      <c r="C119" s="33">
        <v>2023.0</v>
      </c>
      <c r="D119" s="34">
        <v>2022.0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5" t="s">
        <v>61</v>
      </c>
      <c r="B120" s="36">
        <v>18629.88</v>
      </c>
      <c r="C120" s="36">
        <v>15854.27</v>
      </c>
      <c r="D120" s="36">
        <v>13276.34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7" t="s">
        <v>62</v>
      </c>
      <c r="B121" s="37">
        <v>41.43</v>
      </c>
      <c r="C121" s="37">
        <v>39.46</v>
      </c>
      <c r="D121" s="37">
        <v>24.95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7" t="s">
        <v>63</v>
      </c>
      <c r="B122" s="37">
        <v>296.29</v>
      </c>
      <c r="C122" s="37">
        <v>254.57</v>
      </c>
      <c r="D122" s="37">
        <v>214.95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7" t="s">
        <v>64</v>
      </c>
      <c r="B123" s="37" t="s">
        <v>95</v>
      </c>
      <c r="C123" s="37" t="s">
        <v>96</v>
      </c>
      <c r="D123" s="37" t="s">
        <v>67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7" t="s">
        <v>68</v>
      </c>
      <c r="B124" s="36">
        <v>49722.0</v>
      </c>
      <c r="C124" s="36">
        <v>41996.34</v>
      </c>
      <c r="D124" s="36">
        <v>30493.37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7" t="s">
        <v>69</v>
      </c>
      <c r="B125" s="36">
        <v>2694.92</v>
      </c>
      <c r="C125" s="36">
        <v>2556.4</v>
      </c>
      <c r="D125" s="36">
        <v>1616.17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7" t="s">
        <v>70</v>
      </c>
      <c r="B126" s="38">
        <v>0.0</v>
      </c>
      <c r="C126" s="38">
        <v>0.0</v>
      </c>
      <c r="D126" s="38">
        <v>0.0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7" t="s">
        <v>71</v>
      </c>
      <c r="B127" s="37">
        <v>109.23</v>
      </c>
      <c r="C127" s="37">
        <v>86.19</v>
      </c>
      <c r="D127" s="37">
        <v>160.45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7" t="s">
        <v>72</v>
      </c>
      <c r="B128" s="36">
        <f>        650733068/10^7</f>
        <v>65.0733068</v>
      </c>
      <c r="C128" s="36">
        <f>        648263978/10^7</f>
        <v>64.8263978</v>
      </c>
      <c r="D128" s="36">
        <f>        647774691/10^7</f>
        <v>64.7774691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9" t="s">
        <v>97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0" t="s">
        <v>59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2" t="s">
        <v>60</v>
      </c>
      <c r="B133" s="33">
        <v>2024.0</v>
      </c>
      <c r="C133" s="33">
        <v>2023.0</v>
      </c>
      <c r="D133" s="34">
        <v>2022.0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5" t="s">
        <v>61</v>
      </c>
      <c r="B134" s="36">
        <v>13906.94</v>
      </c>
      <c r="C134" s="36">
        <v>12016.59</v>
      </c>
      <c r="D134" s="36">
        <v>10620.74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7" t="s">
        <v>62</v>
      </c>
      <c r="B135" s="37">
        <v>18.92</v>
      </c>
      <c r="C135" s="37">
        <v>17.19</v>
      </c>
      <c r="D135" s="37">
        <v>15.06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7" t="s">
        <v>63</v>
      </c>
      <c r="B136" s="37">
        <v>148.87</v>
      </c>
      <c r="C136" s="37">
        <v>130.06</v>
      </c>
      <c r="D136" s="37">
        <v>116.18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7" t="s">
        <v>64</v>
      </c>
      <c r="B137" s="37" t="s">
        <v>98</v>
      </c>
      <c r="C137" s="37" t="s">
        <v>99</v>
      </c>
      <c r="D137" s="37" t="s">
        <v>67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7" t="s">
        <v>68</v>
      </c>
      <c r="B138" s="36">
        <v>133665.47</v>
      </c>
      <c r="C138" s="36">
        <v>82393.73</v>
      </c>
      <c r="D138" s="36">
        <v>84015.61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7" t="s">
        <v>69</v>
      </c>
      <c r="B139" s="36">
        <v>1893.78</v>
      </c>
      <c r="C139" s="36">
        <v>1720.57</v>
      </c>
      <c r="D139" s="36">
        <v>1506.0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7" t="s">
        <v>70</v>
      </c>
      <c r="B140" s="37">
        <v>2.7</v>
      </c>
      <c r="C140" s="37">
        <v>2.5</v>
      </c>
      <c r="D140" s="37">
        <v>2.0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7" t="s">
        <v>71</v>
      </c>
      <c r="B141" s="37">
        <v>79.29</v>
      </c>
      <c r="C141" s="37">
        <v>64.05</v>
      </c>
      <c r="D141" s="37">
        <v>74.47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7" t="s">
        <v>72</v>
      </c>
      <c r="B142" s="36">
        <f>        1001465465/10^7</f>
        <v>100.1465465</v>
      </c>
      <c r="C142" s="36">
        <f>        1000894759/10^7</f>
        <v>100.0894759</v>
      </c>
      <c r="D142" s="36">
        <f>        1000370562/10^7</f>
        <v>100.0370562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</sheetData>
  <mergeCells count="10">
    <mergeCell ref="A90:D90"/>
    <mergeCell ref="A104:D104"/>
    <mergeCell ref="A118:D118"/>
    <mergeCell ref="A132:D132"/>
    <mergeCell ref="A6:D6"/>
    <mergeCell ref="A20:D20"/>
    <mergeCell ref="A34:D34"/>
    <mergeCell ref="A48:D48"/>
    <mergeCell ref="A62:D62"/>
    <mergeCell ref="A76:D7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3.63"/>
    <col customWidth="1" min="3" max="3" width="4.13"/>
    <col customWidth="1" min="4" max="4" width="6.63"/>
    <col customWidth="1" min="5" max="5" width="22.63"/>
    <col customWidth="1" min="6" max="6" width="4.5"/>
    <col customWidth="1" min="7" max="7" width="29.75"/>
  </cols>
  <sheetData>
    <row r="1">
      <c r="A1" s="39"/>
      <c r="B1" s="39"/>
      <c r="C1" s="4"/>
      <c r="D1" s="4"/>
      <c r="E1" s="40"/>
      <c r="F1" s="4"/>
      <c r="G1" s="41" t="s">
        <v>100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39" t="s">
        <v>101</v>
      </c>
      <c r="B2" s="39" t="s">
        <v>102</v>
      </c>
      <c r="C2" s="28"/>
      <c r="D2" s="42" t="s">
        <v>101</v>
      </c>
      <c r="E2" s="42" t="s">
        <v>103</v>
      </c>
      <c r="F2" s="4"/>
      <c r="G2" s="43" t="s">
        <v>104</v>
      </c>
      <c r="H2" s="43" t="s">
        <v>105</v>
      </c>
      <c r="I2" s="43" t="s">
        <v>106</v>
      </c>
      <c r="J2" s="43" t="s">
        <v>107</v>
      </c>
      <c r="K2" s="44" t="s">
        <v>108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8">
        <v>1.0</v>
      </c>
      <c r="B3" s="28" t="s">
        <v>12</v>
      </c>
      <c r="C3" s="4"/>
      <c r="D3" s="28">
        <v>1.0</v>
      </c>
      <c r="E3" s="28" t="s">
        <v>109</v>
      </c>
      <c r="F3" s="4"/>
      <c r="G3" s="45" t="str">
        <f t="shared" ref="G3:G12" si="1">E3</f>
        <v>TCS</v>
      </c>
      <c r="H3" s="46">
        <v>3545.65</v>
      </c>
      <c r="I3" s="46">
        <v>22.0</v>
      </c>
      <c r="J3" s="47">
        <f t="shared" ref="J3:J12" si="2">H3*I3</f>
        <v>78004.3</v>
      </c>
      <c r="K3" s="48">
        <f t="shared" ref="K3:K13" si="3">J3/$J$13</f>
        <v>0.07800956565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8">
        <f t="shared" ref="A4:A7" si="4">A3+1</f>
        <v>2</v>
      </c>
      <c r="B4" s="28" t="s">
        <v>15</v>
      </c>
      <c r="C4" s="4"/>
      <c r="D4" s="4">
        <f t="shared" ref="D4:D12" si="5">D3+1</f>
        <v>2</v>
      </c>
      <c r="E4" s="28" t="s">
        <v>110</v>
      </c>
      <c r="F4" s="4"/>
      <c r="G4" s="45" t="str">
        <f t="shared" si="1"/>
        <v>HDFC Bank</v>
      </c>
      <c r="H4" s="46">
        <v>1735.6</v>
      </c>
      <c r="I4" s="46">
        <v>51.0</v>
      </c>
      <c r="J4" s="47">
        <f t="shared" si="2"/>
        <v>88515.6</v>
      </c>
      <c r="K4" s="48">
        <f t="shared" si="3"/>
        <v>0.08852157521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8">
        <f t="shared" si="4"/>
        <v>3</v>
      </c>
      <c r="B5" s="28" t="s">
        <v>18</v>
      </c>
      <c r="C5" s="4"/>
      <c r="D5" s="4">
        <f t="shared" si="5"/>
        <v>3</v>
      </c>
      <c r="E5" s="28" t="s">
        <v>111</v>
      </c>
      <c r="F5" s="4"/>
      <c r="G5" s="45" t="str">
        <f t="shared" si="1"/>
        <v>Nestle India</v>
      </c>
      <c r="H5" s="37">
        <v>2200.0</v>
      </c>
      <c r="I5" s="37">
        <v>31.0</v>
      </c>
      <c r="J5" s="47">
        <f t="shared" si="2"/>
        <v>68200</v>
      </c>
      <c r="K5" s="48">
        <f t="shared" si="3"/>
        <v>0.06820460381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28">
        <f t="shared" si="4"/>
        <v>4</v>
      </c>
      <c r="B6" s="28" t="s">
        <v>21</v>
      </c>
      <c r="C6" s="4"/>
      <c r="D6" s="4">
        <f t="shared" si="5"/>
        <v>4</v>
      </c>
      <c r="E6" s="28" t="s">
        <v>112</v>
      </c>
      <c r="F6" s="4"/>
      <c r="G6" s="45" t="str">
        <f t="shared" si="1"/>
        <v>Tata Power</v>
      </c>
      <c r="H6" s="37">
        <v>363.0</v>
      </c>
      <c r="I6" s="37">
        <v>413.0</v>
      </c>
      <c r="J6" s="47">
        <f t="shared" si="2"/>
        <v>149919</v>
      </c>
      <c r="K6" s="48">
        <f t="shared" si="3"/>
        <v>0.1499291202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28">
        <f t="shared" si="4"/>
        <v>5</v>
      </c>
      <c r="B7" s="28" t="s">
        <v>24</v>
      </c>
      <c r="C7" s="4"/>
      <c r="D7" s="4">
        <f t="shared" si="5"/>
        <v>5</v>
      </c>
      <c r="E7" s="28" t="s">
        <v>113</v>
      </c>
      <c r="F7" s="4"/>
      <c r="G7" s="45" t="str">
        <f t="shared" si="1"/>
        <v>Larsen &amp; Toubro</v>
      </c>
      <c r="H7" s="37">
        <v>3271.0</v>
      </c>
      <c r="I7" s="37">
        <v>36.0</v>
      </c>
      <c r="J7" s="47">
        <f t="shared" si="2"/>
        <v>117756</v>
      </c>
      <c r="K7" s="48">
        <f t="shared" si="3"/>
        <v>0.1177639491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4"/>
      <c r="C8" s="4"/>
      <c r="D8" s="4">
        <f t="shared" si="5"/>
        <v>6</v>
      </c>
      <c r="E8" s="28" t="s">
        <v>114</v>
      </c>
      <c r="F8" s="4"/>
      <c r="G8" s="45" t="str">
        <f t="shared" si="1"/>
        <v>Dr Reddy's Labs</v>
      </c>
      <c r="H8" s="37">
        <v>1163.0</v>
      </c>
      <c r="I8" s="37">
        <v>69.0</v>
      </c>
      <c r="J8" s="47">
        <f t="shared" si="2"/>
        <v>80247</v>
      </c>
      <c r="K8" s="48">
        <f t="shared" si="3"/>
        <v>0.08025241704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/>
      <c r="B9" s="4"/>
      <c r="C9" s="4"/>
      <c r="D9" s="4">
        <f t="shared" si="5"/>
        <v>7</v>
      </c>
      <c r="E9" s="28" t="s">
        <v>115</v>
      </c>
      <c r="F9" s="4"/>
      <c r="G9" s="45" t="str">
        <f t="shared" si="1"/>
        <v>Mahindra &amp; Mahindra</v>
      </c>
      <c r="H9" s="37">
        <v>2785.0</v>
      </c>
      <c r="I9" s="37">
        <v>53.0</v>
      </c>
      <c r="J9" s="47">
        <f t="shared" si="2"/>
        <v>147605</v>
      </c>
      <c r="K9" s="48">
        <f t="shared" si="3"/>
        <v>0.147614964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4"/>
      <c r="C10" s="4"/>
      <c r="D10" s="4">
        <f t="shared" si="5"/>
        <v>8</v>
      </c>
      <c r="E10" s="28" t="s">
        <v>116</v>
      </c>
      <c r="F10" s="4"/>
      <c r="G10" s="45" t="str">
        <f t="shared" si="1"/>
        <v>Bharti Airtel</v>
      </c>
      <c r="H10" s="37">
        <v>1632.0</v>
      </c>
      <c r="I10" s="37">
        <v>31.0</v>
      </c>
      <c r="J10" s="47">
        <f t="shared" si="2"/>
        <v>50592</v>
      </c>
      <c r="K10" s="48">
        <f t="shared" si="3"/>
        <v>0.05059541519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4"/>
      <c r="C11" s="4"/>
      <c r="D11" s="4">
        <f t="shared" si="5"/>
        <v>9</v>
      </c>
      <c r="E11" s="28" t="s">
        <v>117</v>
      </c>
      <c r="F11" s="4"/>
      <c r="G11" s="45" t="str">
        <f t="shared" si="1"/>
        <v>Avenue Supermarts</v>
      </c>
      <c r="H11" s="37">
        <v>3829.0</v>
      </c>
      <c r="I11" s="37">
        <v>26.0</v>
      </c>
      <c r="J11" s="47">
        <f t="shared" si="2"/>
        <v>99554</v>
      </c>
      <c r="K11" s="48">
        <f t="shared" si="3"/>
        <v>0.09956072035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4">
        <f t="shared" si="5"/>
        <v>10</v>
      </c>
      <c r="E12" s="28" t="s">
        <v>118</v>
      </c>
      <c r="F12" s="4"/>
      <c r="G12" s="45" t="str">
        <f t="shared" si="1"/>
        <v>SBI Life Insurance</v>
      </c>
      <c r="H12" s="37">
        <v>1457.8</v>
      </c>
      <c r="I12" s="37">
        <v>82.0</v>
      </c>
      <c r="J12" s="47">
        <f t="shared" si="2"/>
        <v>119539.6</v>
      </c>
      <c r="K12" s="48">
        <f t="shared" si="3"/>
        <v>0.1195476695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4"/>
      <c r="E13" s="4"/>
      <c r="F13" s="4"/>
      <c r="G13" s="49" t="s">
        <v>119</v>
      </c>
      <c r="H13" s="3"/>
      <c r="I13" s="50"/>
      <c r="J13" s="51">
        <f>sum(J3:J12)</f>
        <v>999932.5</v>
      </c>
      <c r="K13" s="52">
        <f t="shared" si="3"/>
        <v>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2">
    <mergeCell ref="G1:K1"/>
    <mergeCell ref="G13:I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53" t="s">
        <v>120</v>
      </c>
      <c r="B1" s="54" t="s">
        <v>121</v>
      </c>
      <c r="C1" s="54" t="s">
        <v>122</v>
      </c>
      <c r="D1" s="54" t="s">
        <v>123</v>
      </c>
      <c r="E1" s="54" t="s">
        <v>124</v>
      </c>
      <c r="F1" s="54" t="s">
        <v>125</v>
      </c>
      <c r="G1" s="54" t="s">
        <v>126</v>
      </c>
      <c r="H1" s="54" t="s">
        <v>62</v>
      </c>
      <c r="I1" s="54" t="s">
        <v>63</v>
      </c>
      <c r="J1" s="54" t="s">
        <v>127</v>
      </c>
      <c r="K1" s="54" t="s">
        <v>128</v>
      </c>
      <c r="L1" s="55" t="s">
        <v>129</v>
      </c>
      <c r="M1" s="56" t="s">
        <v>130</v>
      </c>
    </row>
    <row r="2">
      <c r="A2" s="57" t="s">
        <v>12</v>
      </c>
      <c r="B2" s="58">
        <v>4.45</v>
      </c>
      <c r="C2" s="58">
        <v>0.44</v>
      </c>
      <c r="D2" s="58">
        <v>9.26</v>
      </c>
      <c r="E2" s="59">
        <v>95106.91</v>
      </c>
      <c r="F2" s="57" t="s">
        <v>131</v>
      </c>
      <c r="G2" s="58" t="s">
        <v>132</v>
      </c>
      <c r="H2" s="58">
        <v>16.19</v>
      </c>
      <c r="I2" s="58">
        <v>161.36</v>
      </c>
      <c r="J2" s="58">
        <v>178.95</v>
      </c>
      <c r="K2" s="58">
        <v>51.8</v>
      </c>
      <c r="L2" s="58">
        <v>1.09</v>
      </c>
      <c r="M2" s="60">
        <v>215036.0</v>
      </c>
    </row>
    <row r="3">
      <c r="A3" s="57" t="s">
        <v>15</v>
      </c>
      <c r="B3" s="58">
        <v>6.28</v>
      </c>
      <c r="C3" s="58">
        <v>0.81</v>
      </c>
      <c r="D3" s="58">
        <v>6.06</v>
      </c>
      <c r="E3" s="59">
        <v>89496.27</v>
      </c>
      <c r="F3" s="57" t="s">
        <v>133</v>
      </c>
      <c r="G3" s="59">
        <v>97513.61</v>
      </c>
      <c r="H3" s="58">
        <v>13.35</v>
      </c>
      <c r="I3" s="58">
        <v>108.55</v>
      </c>
      <c r="J3" s="58">
        <v>145.85</v>
      </c>
      <c r="K3" s="58">
        <v>74.0</v>
      </c>
      <c r="L3" s="58">
        <v>0.63</v>
      </c>
      <c r="M3" s="60">
        <v>490220.0</v>
      </c>
    </row>
    <row r="4">
      <c r="A4" s="57" t="s">
        <v>18</v>
      </c>
      <c r="B4" s="58">
        <v>5.05</v>
      </c>
      <c r="C4" s="58">
        <v>0.45</v>
      </c>
      <c r="D4" s="58">
        <v>4.71</v>
      </c>
      <c r="E4" s="59">
        <v>31315.68</v>
      </c>
      <c r="F4" s="57" t="s">
        <v>134</v>
      </c>
      <c r="G4" s="59">
        <v>69308.59</v>
      </c>
      <c r="H4" s="58">
        <v>85.86</v>
      </c>
      <c r="I4" s="58">
        <v>625.26</v>
      </c>
      <c r="J4" s="58">
        <v>526.8</v>
      </c>
      <c r="K4" s="58">
        <v>250.9</v>
      </c>
      <c r="L4" s="58">
        <v>1.18</v>
      </c>
      <c r="M4" s="60">
        <v>15198.0</v>
      </c>
    </row>
    <row r="5">
      <c r="A5" s="57" t="s">
        <v>21</v>
      </c>
      <c r="B5" s="58">
        <v>11.09</v>
      </c>
      <c r="C5" s="58">
        <v>1.66</v>
      </c>
      <c r="D5" s="58">
        <v>5.43</v>
      </c>
      <c r="E5" s="59">
        <v>15265.25</v>
      </c>
      <c r="F5" s="57" t="s">
        <v>135</v>
      </c>
      <c r="G5" s="59">
        <v>8775.25</v>
      </c>
      <c r="H5" s="58">
        <v>5.86</v>
      </c>
      <c r="I5" s="58">
        <v>37.01</v>
      </c>
      <c r="J5" s="58">
        <v>122.15</v>
      </c>
      <c r="K5" s="58">
        <v>56.1</v>
      </c>
      <c r="L5" s="58">
        <v>0.9</v>
      </c>
      <c r="M5" s="60">
        <v>184422.0</v>
      </c>
    </row>
    <row r="6">
      <c r="A6" s="57" t="s">
        <v>24</v>
      </c>
      <c r="B6" s="58">
        <v>72.85</v>
      </c>
      <c r="C6" s="58">
        <v>60.96</v>
      </c>
      <c r="D6" s="58">
        <v>1.2</v>
      </c>
      <c r="E6" s="58" t="s">
        <v>136</v>
      </c>
      <c r="F6" s="57" t="s">
        <v>137</v>
      </c>
      <c r="G6" s="61">
        <v>7815.0</v>
      </c>
      <c r="H6" s="58">
        <v>28.68</v>
      </c>
      <c r="I6" s="58">
        <v>34.26</v>
      </c>
      <c r="J6" s="58">
        <v>2614.0</v>
      </c>
      <c r="K6" s="58">
        <v>1657.0</v>
      </c>
      <c r="L6" s="58">
        <v>0.7</v>
      </c>
      <c r="M6" s="60">
        <v>5380.0</v>
      </c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</row>
    <row r="8">
      <c r="A8" s="63" t="s">
        <v>138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</row>
    <row r="9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</row>
  </sheetData>
  <mergeCells count="1">
    <mergeCell ref="A8:B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9" max="9" width="48.38"/>
  </cols>
  <sheetData>
    <row r="1">
      <c r="A1" s="64" t="s">
        <v>0</v>
      </c>
      <c r="B1" s="65" t="s">
        <v>5</v>
      </c>
      <c r="C1" s="65" t="s">
        <v>6</v>
      </c>
      <c r="D1" s="65" t="s">
        <v>7</v>
      </c>
      <c r="E1" s="65" t="s">
        <v>8</v>
      </c>
      <c r="F1" s="65" t="s">
        <v>9</v>
      </c>
      <c r="G1" s="4"/>
      <c r="H1" s="5"/>
      <c r="I1" s="6" t="s">
        <v>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6" t="s">
        <v>10</v>
      </c>
      <c r="B2" s="67">
        <v>2024.0</v>
      </c>
      <c r="C2" s="67">
        <v>2023.0</v>
      </c>
      <c r="D2" s="68">
        <v>2022.0</v>
      </c>
      <c r="E2" s="68">
        <v>2021.0</v>
      </c>
      <c r="F2" s="68">
        <v>2020.0</v>
      </c>
      <c r="G2" s="4"/>
      <c r="H2" s="9">
        <v>1.0</v>
      </c>
      <c r="I2" s="10" t="s">
        <v>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69" t="s">
        <v>139</v>
      </c>
      <c r="B3" s="70"/>
      <c r="C3" s="70"/>
      <c r="D3" s="70"/>
      <c r="E3" s="70"/>
      <c r="F3" s="70"/>
      <c r="G3" s="4"/>
      <c r="H3" s="15" t="s">
        <v>11</v>
      </c>
      <c r="I3" s="16" t="s">
        <v>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69" t="s">
        <v>140</v>
      </c>
      <c r="B4" s="70"/>
      <c r="C4" s="70"/>
      <c r="D4" s="70"/>
      <c r="E4" s="70"/>
      <c r="F4" s="70"/>
      <c r="G4" s="4"/>
      <c r="H4" s="15" t="s">
        <v>13</v>
      </c>
      <c r="I4" s="16" t="s">
        <v>14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69" t="s">
        <v>141</v>
      </c>
      <c r="B5" s="70"/>
      <c r="C5" s="70"/>
      <c r="D5" s="70"/>
      <c r="E5" s="70"/>
      <c r="F5" s="70"/>
      <c r="G5" s="4"/>
      <c r="H5" s="15" t="s">
        <v>16</v>
      </c>
      <c r="I5" s="16" t="s">
        <v>17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69" t="s">
        <v>142</v>
      </c>
      <c r="B6" s="70"/>
      <c r="C6" s="70"/>
      <c r="D6" s="70"/>
      <c r="E6" s="70"/>
      <c r="F6" s="70"/>
      <c r="G6" s="4"/>
      <c r="H6" s="15" t="s">
        <v>19</v>
      </c>
      <c r="I6" s="16" t="s">
        <v>20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69" t="s">
        <v>143</v>
      </c>
      <c r="B7" s="70"/>
      <c r="C7" s="70"/>
      <c r="D7" s="70"/>
      <c r="E7" s="70"/>
      <c r="F7" s="70"/>
      <c r="G7" s="4"/>
      <c r="H7" s="15" t="s">
        <v>22</v>
      </c>
      <c r="I7" s="16" t="s">
        <v>23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71" t="s">
        <v>144</v>
      </c>
      <c r="B8" s="70"/>
      <c r="C8" s="70"/>
      <c r="D8" s="70"/>
      <c r="E8" s="70"/>
      <c r="F8" s="70"/>
      <c r="G8" s="4"/>
      <c r="H8" s="15" t="s">
        <v>25</v>
      </c>
      <c r="I8" s="16" t="s">
        <v>26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72"/>
      <c r="B9" s="72"/>
      <c r="C9" s="72"/>
      <c r="D9" s="72"/>
      <c r="E9" s="72"/>
      <c r="F9" s="72"/>
      <c r="G9" s="4"/>
      <c r="H9" s="15" t="s">
        <v>27</v>
      </c>
      <c r="I9" s="16" t="s">
        <v>28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73" t="s">
        <v>145</v>
      </c>
      <c r="B10" s="74" t="s">
        <v>5</v>
      </c>
      <c r="C10" s="74" t="s">
        <v>6</v>
      </c>
      <c r="D10" s="74" t="s">
        <v>7</v>
      </c>
      <c r="E10" s="74" t="s">
        <v>8</v>
      </c>
      <c r="F10" s="74" t="s">
        <v>9</v>
      </c>
      <c r="G10" s="4"/>
      <c r="H10" s="15" t="s">
        <v>29</v>
      </c>
      <c r="I10" s="16" t="s">
        <v>30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75" t="s">
        <v>68</v>
      </c>
      <c r="B11" s="76"/>
      <c r="C11" s="76"/>
      <c r="D11" s="76"/>
      <c r="E11" s="76"/>
      <c r="F11" s="76"/>
      <c r="G11" s="4"/>
      <c r="H11" s="9">
        <v>2.0</v>
      </c>
      <c r="I11" s="10" t="s">
        <v>31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75" t="s">
        <v>146</v>
      </c>
      <c r="B12" s="76"/>
      <c r="C12" s="76"/>
      <c r="D12" s="76"/>
      <c r="E12" s="76"/>
      <c r="F12" s="76"/>
      <c r="G12" s="4"/>
      <c r="H12" s="15" t="s">
        <v>11</v>
      </c>
      <c r="I12" s="16" t="s">
        <v>32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75" t="s">
        <v>70</v>
      </c>
      <c r="B13" s="76"/>
      <c r="C13" s="76"/>
      <c r="D13" s="76"/>
      <c r="E13" s="76"/>
      <c r="F13" s="76"/>
      <c r="G13" s="4"/>
      <c r="H13" s="15" t="s">
        <v>13</v>
      </c>
      <c r="I13" s="16" t="s">
        <v>33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75" t="s">
        <v>71</v>
      </c>
      <c r="B14" s="76"/>
      <c r="C14" s="76"/>
      <c r="D14" s="76"/>
      <c r="E14" s="76"/>
      <c r="F14" s="7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75" t="s">
        <v>147</v>
      </c>
      <c r="B15" s="76"/>
      <c r="C15" s="76"/>
      <c r="D15" s="76"/>
      <c r="E15" s="76"/>
      <c r="F15" s="76"/>
      <c r="G15" s="4"/>
      <c r="H15" s="9">
        <v>2.0</v>
      </c>
      <c r="I15" s="6" t="s">
        <v>148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75" t="s">
        <v>149</v>
      </c>
      <c r="B16" s="76"/>
      <c r="C16" s="76"/>
      <c r="D16" s="76"/>
      <c r="E16" s="76"/>
      <c r="F16" s="76"/>
      <c r="G16" s="4"/>
      <c r="H16" s="15" t="s">
        <v>11</v>
      </c>
      <c r="I16" s="16" t="s">
        <v>150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75" t="s">
        <v>62</v>
      </c>
      <c r="B17" s="76"/>
      <c r="C17" s="76"/>
      <c r="D17" s="76"/>
      <c r="E17" s="76"/>
      <c r="F17" s="76"/>
      <c r="G17" s="4"/>
      <c r="H17" s="15" t="s">
        <v>13</v>
      </c>
      <c r="I17" s="16" t="s">
        <v>151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75" t="s">
        <v>63</v>
      </c>
      <c r="B18" s="76"/>
      <c r="C18" s="76"/>
      <c r="D18" s="76"/>
      <c r="E18" s="76"/>
      <c r="F18" s="76"/>
      <c r="G18" s="4"/>
      <c r="H18" s="15" t="s">
        <v>16</v>
      </c>
      <c r="I18" s="16" t="s">
        <v>152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75" t="s">
        <v>153</v>
      </c>
      <c r="B19" s="76"/>
      <c r="C19" s="76"/>
      <c r="D19" s="72"/>
      <c r="E19" s="77"/>
      <c r="F19" s="78"/>
      <c r="G19" s="4"/>
      <c r="H19" s="15" t="s">
        <v>19</v>
      </c>
      <c r="I19" s="16" t="s">
        <v>154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15" t="s">
        <v>22</v>
      </c>
      <c r="I20" s="16" t="s">
        <v>155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15" t="s">
        <v>25</v>
      </c>
      <c r="I21" s="16" t="s">
        <v>156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1">
    <mergeCell ref="D19:F19"/>
  </mergeCells>
  <drawing r:id="rId1"/>
</worksheet>
</file>