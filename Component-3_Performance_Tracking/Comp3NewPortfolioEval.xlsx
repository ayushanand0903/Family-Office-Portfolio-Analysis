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6cb21fff4551fe6/Documents/Family-Office-Portfolio-Analysis/Component-3_Performance_Tracking/"/>
    </mc:Choice>
  </mc:AlternateContent>
  <xr:revisionPtr revIDLastSave="1" documentId="13_ncr:1_{CA5AE954-174E-41E7-A6B4-65A493BBFC05}" xr6:coauthVersionLast="47" xr6:coauthVersionMax="47" xr10:uidLastSave="{18866A12-1A30-4F24-A8C1-1A797A6A77E2}"/>
  <bookViews>
    <workbookView xWindow="-110" yWindow="-110" windowWidth="19420" windowHeight="10300" firstSheet="1" activeTab="3" xr2:uid="{00000000-000D-0000-FFFF-FFFF00000000}"/>
  </bookViews>
  <sheets>
    <sheet name="Fundamental Analysis Template" sheetId="1" r:id="rId1"/>
    <sheet name="Component 3" sheetId="2" r:id="rId2"/>
    <sheet name="Optimal Portfolio allocation" sheetId="3" r:id="rId3"/>
    <sheet name="Long Term Performance Analysis" sheetId="6" r:id="rId4"/>
    <sheet name="Portfolio" sheetId="4" r:id="rId5"/>
    <sheet name="Referenc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6" l="1"/>
  <c r="J19" i="6"/>
  <c r="H20" i="6"/>
  <c r="H19" i="6"/>
  <c r="F20" i="6"/>
  <c r="F19" i="6"/>
  <c r="H18" i="6"/>
  <c r="F18" i="6"/>
  <c r="J18" i="6"/>
  <c r="F21" i="6"/>
  <c r="H21" i="6"/>
  <c r="J21" i="6"/>
  <c r="C12" i="6"/>
  <c r="J4" i="6"/>
  <c r="J3" i="6"/>
  <c r="J5" i="6"/>
  <c r="J6" i="6"/>
  <c r="J7" i="6"/>
  <c r="J8" i="6"/>
  <c r="J9" i="6"/>
  <c r="J10" i="6"/>
  <c r="J11" i="6"/>
  <c r="J2" i="6"/>
  <c r="H3" i="6"/>
  <c r="H4" i="6"/>
  <c r="H5" i="6"/>
  <c r="H6" i="6"/>
  <c r="H7" i="6"/>
  <c r="H8" i="6"/>
  <c r="H9" i="6"/>
  <c r="H10" i="6"/>
  <c r="H11" i="6"/>
  <c r="H2" i="6"/>
  <c r="F3" i="6"/>
  <c r="F4" i="6"/>
  <c r="F5" i="6"/>
  <c r="F6" i="6"/>
  <c r="F7" i="6"/>
  <c r="F8" i="6"/>
  <c r="F9" i="6"/>
  <c r="F10" i="6"/>
  <c r="F11" i="6"/>
  <c r="F2" i="6"/>
  <c r="D3" i="6"/>
  <c r="D4" i="6"/>
  <c r="D5" i="6"/>
  <c r="D6" i="6"/>
  <c r="D7" i="6"/>
  <c r="D8" i="6"/>
  <c r="D9" i="6"/>
  <c r="D10" i="6"/>
  <c r="D11" i="6"/>
  <c r="D2" i="6"/>
  <c r="K13" i="3"/>
  <c r="J13" i="3"/>
  <c r="K12" i="3"/>
  <c r="J12" i="3"/>
  <c r="G12" i="3"/>
  <c r="D12" i="3"/>
  <c r="K11" i="3"/>
  <c r="J11" i="3"/>
  <c r="G11" i="3"/>
  <c r="D11" i="3"/>
  <c r="K10" i="3"/>
  <c r="J10" i="3"/>
  <c r="G10" i="3"/>
  <c r="D10" i="3"/>
  <c r="K9" i="3"/>
  <c r="J9" i="3"/>
  <c r="G9" i="3"/>
  <c r="D9" i="3"/>
  <c r="K8" i="3"/>
  <c r="J8" i="3"/>
  <c r="G8" i="3"/>
  <c r="D8" i="3"/>
  <c r="K7" i="3"/>
  <c r="J7" i="3"/>
  <c r="G7" i="3"/>
  <c r="D7" i="3"/>
  <c r="A7" i="3"/>
  <c r="K6" i="3"/>
  <c r="J6" i="3"/>
  <c r="G6" i="3"/>
  <c r="D6" i="3"/>
  <c r="A6" i="3"/>
  <c r="K5" i="3"/>
  <c r="J5" i="3"/>
  <c r="G5" i="3"/>
  <c r="D5" i="3"/>
  <c r="A5" i="3"/>
  <c r="K4" i="3"/>
  <c r="J4" i="3"/>
  <c r="G4" i="3"/>
  <c r="D4" i="3"/>
  <c r="A4" i="3"/>
  <c r="K3" i="3"/>
  <c r="J3" i="3"/>
  <c r="G3" i="3"/>
  <c r="D142" i="2"/>
  <c r="C142" i="2"/>
  <c r="B142" i="2"/>
  <c r="D128" i="2"/>
  <c r="C128" i="2"/>
  <c r="B128" i="2"/>
  <c r="D114" i="2"/>
  <c r="C114" i="2"/>
  <c r="B114" i="2"/>
  <c r="D100" i="2"/>
  <c r="C100" i="2"/>
  <c r="B100" i="2"/>
  <c r="D86" i="2"/>
  <c r="C86" i="2"/>
  <c r="B86" i="2"/>
  <c r="D72" i="2"/>
  <c r="C72" i="2"/>
  <c r="B72" i="2"/>
  <c r="D58" i="2"/>
  <c r="C58" i="2"/>
  <c r="B58" i="2"/>
  <c r="D44" i="2"/>
  <c r="C44" i="2"/>
  <c r="B44" i="2"/>
  <c r="D30" i="2"/>
  <c r="C30" i="2"/>
  <c r="B30" i="2"/>
  <c r="D16" i="2"/>
  <c r="C16" i="2"/>
  <c r="B16" i="2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F12" i="6" l="1"/>
  <c r="H12" i="6"/>
  <c r="J12" i="6"/>
  <c r="D12" i="6"/>
  <c r="F14" i="6" l="1"/>
  <c r="J14" i="6"/>
  <c r="H14" i="6"/>
</calcChain>
</file>

<file path=xl/sharedStrings.xml><?xml version="1.0" encoding="utf-8"?>
<sst xmlns="http://schemas.openxmlformats.org/spreadsheetml/2006/main" count="565" uniqueCount="186">
  <si>
    <t>Fundamental Analysis</t>
  </si>
  <si>
    <t>Mandatory</t>
  </si>
  <si>
    <t>Optional</t>
  </si>
  <si>
    <t>Component 2</t>
  </si>
  <si>
    <t>Earnings per Share</t>
  </si>
  <si>
    <t>Year 1</t>
  </si>
  <si>
    <t>Year 2</t>
  </si>
  <si>
    <t>Year 3</t>
  </si>
  <si>
    <t>Year 4</t>
  </si>
  <si>
    <t>Year 5</t>
  </si>
  <si>
    <t>Particulars</t>
  </si>
  <si>
    <t>a</t>
  </si>
  <si>
    <t>ONGC</t>
  </si>
  <si>
    <t>b</t>
  </si>
  <si>
    <t>Price to Sales Ratio (P/S)</t>
  </si>
  <si>
    <t>NTPC</t>
  </si>
  <si>
    <t>c</t>
  </si>
  <si>
    <t>Price to Earnings Ratio (P/E)</t>
  </si>
  <si>
    <t>Tata Steel</t>
  </si>
  <si>
    <t>d</t>
  </si>
  <si>
    <t>Profitability Ratios - gross, net and operating</t>
  </si>
  <si>
    <t>Bharat Electronics</t>
  </si>
  <si>
    <t>e</t>
  </si>
  <si>
    <t>Liquidity Ratios - current, quick ratio</t>
  </si>
  <si>
    <t>Hindustan Unilever Limited</t>
  </si>
  <si>
    <t>f</t>
  </si>
  <si>
    <t>Solvency Ratios - debt-equity, interest coverage</t>
  </si>
  <si>
    <t>g</t>
  </si>
  <si>
    <t>Growth Trends Analysis - 3 years sales and net profit</t>
  </si>
  <si>
    <t>h</t>
  </si>
  <si>
    <t>Return on Investment</t>
  </si>
  <si>
    <t>Technical Analysis</t>
  </si>
  <si>
    <t>RSI (Relative Strength Index)</t>
  </si>
  <si>
    <t>Trendlines</t>
  </si>
  <si>
    <t>Suggestions:</t>
  </si>
  <si>
    <t xml:space="preserve">1. ONGC- </t>
  </si>
  <si>
    <t>2. NTPC-</t>
  </si>
  <si>
    <t>Gross profit margin</t>
  </si>
  <si>
    <t>3. Tata Steel-</t>
  </si>
  <si>
    <t>4. Bharat Electronics-</t>
  </si>
  <si>
    <t>Operating profit margin</t>
  </si>
  <si>
    <t>5. HUL-</t>
  </si>
  <si>
    <t>Net profit margin</t>
  </si>
  <si>
    <t>Current Ratio</t>
  </si>
  <si>
    <t>Quick Ratio</t>
  </si>
  <si>
    <t>Debt-equity Ratio (D/E)</t>
  </si>
  <si>
    <t>Interest Coverage</t>
  </si>
  <si>
    <t>3 years Sales</t>
  </si>
  <si>
    <t>3 years Net profit</t>
  </si>
  <si>
    <t>Return on Investment (ROI)</t>
  </si>
  <si>
    <t>Note:</t>
  </si>
  <si>
    <t>ROI=Net income/(long-term liabilities + shareholders' equity) [when investment details aren’t mentioned</t>
  </si>
  <si>
    <t>For each selected stock add the below details:</t>
  </si>
  <si>
    <t>Selected Stock: TCS</t>
  </si>
  <si>
    <t>Market Research</t>
  </si>
  <si>
    <t>Particluars</t>
  </si>
  <si>
    <t>Reserves  &amp; Surplus</t>
  </si>
  <si>
    <t>EPS</t>
  </si>
  <si>
    <t>Book Value</t>
  </si>
  <si>
    <t>52 week high and low (Mention date)</t>
  </si>
  <si>
    <t>Low: 3457.00</t>
  </si>
  <si>
    <t>High: 4592.25</t>
  </si>
  <si>
    <t>Date: Mar 18th, 2025</t>
  </si>
  <si>
    <t>Total Sales</t>
  </si>
  <si>
    <t>Total Profits</t>
  </si>
  <si>
    <t>Dividends</t>
  </si>
  <si>
    <t>P/E</t>
  </si>
  <si>
    <t>#Outstanding shares (in Cr)</t>
  </si>
  <si>
    <t>Selected Stock: HDFC Bank Ltd.</t>
  </si>
  <si>
    <t>Low: 1421.25</t>
  </si>
  <si>
    <t>High: 1880.00</t>
  </si>
  <si>
    <t>Selected Stock: Nestle India Ltd.</t>
  </si>
  <si>
    <t>Low: 2110.00</t>
  </si>
  <si>
    <t>High: 2778.00</t>
  </si>
  <si>
    <t>Selected Stock: The Tata Power Company Ltd.</t>
  </si>
  <si>
    <t>Low: 326.35</t>
  </si>
  <si>
    <t>High: 494.85</t>
  </si>
  <si>
    <t>Selected Stock: Larsen &amp; Toubro Ltd.</t>
  </si>
  <si>
    <t>Low: 3141.00</t>
  </si>
  <si>
    <t>High: 3963.50</t>
  </si>
  <si>
    <t>Selected Stock: Dr Reddys Laboratories Ltd.</t>
  </si>
  <si>
    <t>Low: 1092.45</t>
  </si>
  <si>
    <t>High: 1421.49</t>
  </si>
  <si>
    <t>Selected Stock: Mahindra and Mahindra Ltd.</t>
  </si>
  <si>
    <t>Low: 1820.55</t>
  </si>
  <si>
    <t>High: 3270.95`</t>
  </si>
  <si>
    <t>Selected Stock: Bharti Airtel Ltd.</t>
  </si>
  <si>
    <t>Low: 1183.1</t>
  </si>
  <si>
    <t>High: 1779`</t>
  </si>
  <si>
    <t>Selected Stock: Avenue Supermarts Ltd.</t>
  </si>
  <si>
    <t>Low: 3340.00</t>
  </si>
  <si>
    <t>High: 5484.85</t>
  </si>
  <si>
    <t>Selected Stock: SBI Life Insurance Company Ltd.</t>
  </si>
  <si>
    <t>Low: 1307.70</t>
  </si>
  <si>
    <t>High: 1936.00</t>
  </si>
  <si>
    <t>Optimal Portfolio allocation: Invest 10 lakhs virtual cash for the 10 stocks</t>
  </si>
  <si>
    <t>Observe and note stock price fluctuations on NSE/BSE along with the dates</t>
  </si>
  <si>
    <t>Sno</t>
  </si>
  <si>
    <t>Original Portfolio</t>
  </si>
  <si>
    <t>Updated Portfolio</t>
  </si>
  <si>
    <t>Stock name</t>
  </si>
  <si>
    <t>Stock price</t>
  </si>
  <si>
    <t>Qty</t>
  </si>
  <si>
    <t>Amount</t>
  </si>
  <si>
    <t>% Alloted</t>
  </si>
  <si>
    <t>Stock/Day</t>
  </si>
  <si>
    <t>Day 1 (20th Mar, 2025)</t>
  </si>
  <si>
    <t>Day 2 (21st Mar, 2025)</t>
  </si>
  <si>
    <t>Day 3 (24nd Mar, 2025)</t>
  </si>
  <si>
    <t>Day 4 (25rd Mar, 2025)</t>
  </si>
  <si>
    <t>Day 5 (26th Mar, 2025)</t>
  </si>
  <si>
    <t>Day 6 (27th Mar, 2025)</t>
  </si>
  <si>
    <t>Day 7 (28th Mar, 2025)</t>
  </si>
  <si>
    <t>Day 8 (1st Apr, 2025)</t>
  </si>
  <si>
    <t>Day 9 (2nd Apr, 2025)</t>
  </si>
  <si>
    <t>Day 10 (3rd Apr, 2025)</t>
  </si>
  <si>
    <t>TCS</t>
  </si>
  <si>
    <t>HDFC Bank</t>
  </si>
  <si>
    <t>Nestle India</t>
  </si>
  <si>
    <t>Tata Power</t>
  </si>
  <si>
    <t>Larsen &amp; Toubro</t>
  </si>
  <si>
    <t>Dr Reddy's Labs</t>
  </si>
  <si>
    <t>Mahindra &amp; Mahindra</t>
  </si>
  <si>
    <t>Bharti Airtel</t>
  </si>
  <si>
    <t>Avenue Supermarts</t>
  </si>
  <si>
    <t>SBI Life Insurance</t>
  </si>
  <si>
    <t>Total</t>
  </si>
  <si>
    <t>Observe stock price fluctuations on NSE only</t>
  </si>
  <si>
    <t>Company Name</t>
  </si>
  <si>
    <t>P/E Ratio</t>
  </si>
  <si>
    <t>P/B Ratio</t>
  </si>
  <si>
    <t>Dividend Yield(%)</t>
  </si>
  <si>
    <t>Market Capital(Rs in Cr)</t>
  </si>
  <si>
    <t>Sector</t>
  </si>
  <si>
    <t>Company's Reserve(Rs in Cr)</t>
  </si>
  <si>
    <t>52 week High</t>
  </si>
  <si>
    <t>52 week Low</t>
  </si>
  <si>
    <t>Beta</t>
  </si>
  <si>
    <t>No. of shares</t>
  </si>
  <si>
    <t>Oil &amp; Gas</t>
  </si>
  <si>
    <t>1,96,702.40</t>
  </si>
  <si>
    <t>Power</t>
  </si>
  <si>
    <t>Metals &amp; Mining</t>
  </si>
  <si>
    <t>Capital Goods</t>
  </si>
  <si>
    <t>4,90,651.15</t>
  </si>
  <si>
    <t>FMCG</t>
  </si>
  <si>
    <t>*All values as on 20th May 2020</t>
  </si>
  <si>
    <t>Company 1</t>
  </si>
  <si>
    <t>company 2</t>
  </si>
  <si>
    <t>company 3</t>
  </si>
  <si>
    <t>Company 4</t>
  </si>
  <si>
    <t>Company 5</t>
  </si>
  <si>
    <t>Company 6</t>
  </si>
  <si>
    <t>Selected Stocks</t>
  </si>
  <si>
    <t>Total profits</t>
  </si>
  <si>
    <t>#Outstanding shares</t>
  </si>
  <si>
    <t>Ratios</t>
  </si>
  <si>
    <t>Reserves</t>
  </si>
  <si>
    <t>Liquidity-current and quick ratios</t>
  </si>
  <si>
    <t>Profitability-gross, operating and net profit margins</t>
  </si>
  <si>
    <t>Solvency-Debt-equity(D/E) &amp; Interest coverage ratios</t>
  </si>
  <si>
    <t>52 week high and low</t>
  </si>
  <si>
    <t>P/BV-price to book value</t>
  </si>
  <si>
    <t>P/E-price-to-earnings</t>
  </si>
  <si>
    <t>D/E-debt-to-equity</t>
  </si>
  <si>
    <r>
      <rPr>
        <b/>
        <sz val="10"/>
        <color rgb="FFFF00FF"/>
        <rFont val="Calibri"/>
        <family val="2"/>
      </rPr>
      <t>Hold ONGC</t>
    </r>
    <r>
      <rPr>
        <sz val="10"/>
        <color rgb="FFFF00FF"/>
        <rFont val="Calibri"/>
        <family val="2"/>
      </rPr>
      <t xml:space="preserve"> </t>
    </r>
    <r>
      <rPr>
        <sz val="10"/>
        <color theme="1"/>
        <rFont val="Calibri"/>
        <family val="2"/>
      </rPr>
      <t>for</t>
    </r>
    <r>
      <rPr>
        <b/>
        <sz val="10"/>
        <color theme="1"/>
        <rFont val="Calibri"/>
        <family val="2"/>
      </rPr>
      <t xml:space="preserve"> steady dividends</t>
    </r>
    <r>
      <rPr>
        <sz val="10"/>
        <color theme="1"/>
        <rFont val="Calibri"/>
        <family val="2"/>
      </rPr>
      <t xml:space="preserve"> and value investing. </t>
    </r>
    <r>
      <rPr>
        <b/>
        <sz val="10"/>
        <color theme="1"/>
        <rFont val="Calibri"/>
        <family val="2"/>
      </rPr>
      <t>P/E Ratio of 8.32</t>
    </r>
    <r>
      <rPr>
        <sz val="10"/>
        <color theme="1"/>
        <rFont val="Calibri"/>
        <family val="2"/>
      </rPr>
      <t xml:space="preserve"> is low compared to industry standards, meaning the stock is cheap relative to earnings. If it drops </t>
    </r>
    <r>
      <rPr>
        <b/>
        <sz val="10"/>
        <color theme="1"/>
        <rFont val="Calibri"/>
        <family val="2"/>
      </rPr>
      <t>below RSI 35, consider adding more.</t>
    </r>
  </si>
  <si>
    <r>
      <rPr>
        <b/>
        <sz val="10"/>
        <color rgb="FFFF00FF"/>
        <rFont val="Calibri"/>
        <family val="2"/>
      </rPr>
      <t xml:space="preserve">Drop ONGC. </t>
    </r>
    <r>
      <rPr>
        <b/>
        <sz val="10"/>
        <color theme="1"/>
        <rFont val="Calibri"/>
        <family val="2"/>
      </rPr>
      <t>RSI: 63.01 --</t>
    </r>
    <r>
      <rPr>
        <sz val="10"/>
        <color theme="1"/>
        <rFont val="Calibri"/>
        <family val="2"/>
      </rPr>
      <t xml:space="preserve"> The stock is nearing overbought territory. Debt-to-Equity </t>
    </r>
    <r>
      <rPr>
        <b/>
        <sz val="10"/>
        <color theme="1"/>
        <rFont val="Calibri"/>
        <family val="2"/>
      </rPr>
      <t>(D/E)</t>
    </r>
    <r>
      <rPr>
        <sz val="10"/>
        <color theme="1"/>
        <rFont val="Calibri"/>
        <family val="2"/>
      </rPr>
      <t xml:space="preserve"> Ratio: </t>
    </r>
    <r>
      <rPr>
        <b/>
        <sz val="10"/>
        <color theme="1"/>
        <rFont val="Calibri"/>
        <family val="2"/>
      </rPr>
      <t xml:space="preserve">1.24 (2024) -- Very high </t>
    </r>
    <r>
      <rPr>
        <sz val="10"/>
        <color theme="1"/>
        <rFont val="Calibri"/>
        <family val="2"/>
      </rPr>
      <t xml:space="preserve">compared to other stable stocks. </t>
    </r>
    <r>
      <rPr>
        <b/>
        <sz val="10"/>
        <color theme="1"/>
        <rFont val="Calibri"/>
        <family val="2"/>
      </rPr>
      <t>EPS</t>
    </r>
    <r>
      <rPr>
        <sz val="10"/>
        <color theme="1"/>
        <rFont val="Calibri"/>
        <family val="2"/>
      </rPr>
      <t xml:space="preserve"> (Earnings Per Share) growth is </t>
    </r>
    <r>
      <rPr>
        <b/>
        <sz val="10"/>
        <color theme="1"/>
        <rFont val="Calibri"/>
        <family val="2"/>
      </rPr>
      <t xml:space="preserve">slow </t>
    </r>
    <r>
      <rPr>
        <sz val="10"/>
        <color theme="1"/>
        <rFont val="Calibri"/>
        <family val="2"/>
      </rPr>
      <t xml:space="preserve">-- 16.62 (2022) to 18.64 (2024). </t>
    </r>
    <r>
      <rPr>
        <b/>
        <sz val="10"/>
        <color theme="1"/>
        <rFont val="Calibri"/>
        <family val="2"/>
      </rPr>
      <t>P/E</t>
    </r>
    <r>
      <rPr>
        <sz val="10"/>
        <color theme="1"/>
        <rFont val="Calibri"/>
        <family val="2"/>
      </rPr>
      <t xml:space="preserve"> Ratio: 18.02 (2024) -- </t>
    </r>
    <r>
      <rPr>
        <b/>
        <sz val="10"/>
        <color theme="1"/>
        <rFont val="Calibri"/>
        <family val="2"/>
      </rPr>
      <t xml:space="preserve">Higher </t>
    </r>
    <r>
      <rPr>
        <sz val="10"/>
        <color theme="1"/>
        <rFont val="Calibri"/>
        <family val="2"/>
      </rPr>
      <t xml:space="preserve">than historical averages, meaning the </t>
    </r>
    <r>
      <rPr>
        <b/>
        <sz val="10"/>
        <color theme="1"/>
        <rFont val="Calibri"/>
        <family val="2"/>
      </rPr>
      <t>stock may be overpriced.</t>
    </r>
    <r>
      <rPr>
        <sz val="10"/>
        <color theme="1"/>
        <rFont val="Calibri"/>
        <family val="2"/>
      </rPr>
      <t xml:space="preserve"> </t>
    </r>
  </si>
  <si>
    <r>
      <rPr>
        <b/>
        <sz val="10"/>
        <color rgb="FFFF00FF"/>
        <rFont val="Calibri"/>
        <family val="2"/>
      </rPr>
      <t>Drop TATA Steel.</t>
    </r>
    <r>
      <rPr>
        <sz val="10"/>
        <color theme="1"/>
        <rFont val="Calibri"/>
        <family val="2"/>
      </rPr>
      <t xml:space="preserve"> Earnings Per Share (</t>
    </r>
    <r>
      <rPr>
        <b/>
        <sz val="10"/>
        <color theme="1"/>
        <rFont val="Calibri"/>
        <family val="2"/>
      </rPr>
      <t>EPS</t>
    </r>
    <r>
      <rPr>
        <sz val="10"/>
        <color theme="1"/>
        <rFont val="Calibri"/>
        <family val="2"/>
      </rPr>
      <t>) crashed from</t>
    </r>
    <r>
      <rPr>
        <b/>
        <sz val="10"/>
        <color theme="1"/>
        <rFont val="Calibri"/>
        <family val="2"/>
      </rPr>
      <t xml:space="preserve"> ₹270.33 (2022) to ₹3.85 (2024).</t>
    </r>
    <r>
      <rPr>
        <sz val="10"/>
        <color theme="1"/>
        <rFont val="Calibri"/>
        <family val="2"/>
      </rPr>
      <t xml:space="preserve"> Current </t>
    </r>
    <r>
      <rPr>
        <b/>
        <sz val="10"/>
        <color theme="1"/>
        <rFont val="Calibri"/>
        <family val="2"/>
      </rPr>
      <t>RSI: 71.32</t>
    </r>
    <r>
      <rPr>
        <sz val="10"/>
        <color theme="1"/>
        <rFont val="Calibri"/>
        <family val="2"/>
      </rPr>
      <t xml:space="preserve"> -- This means Tata Steel is in the overbought zone. Debt-to-Equity (</t>
    </r>
    <r>
      <rPr>
        <b/>
        <sz val="10"/>
        <color theme="1"/>
        <rFont val="Calibri"/>
        <family val="2"/>
      </rPr>
      <t>D/E</t>
    </r>
    <r>
      <rPr>
        <sz val="10"/>
        <color theme="1"/>
        <rFont val="Calibri"/>
        <family val="2"/>
      </rPr>
      <t xml:space="preserve">) Ratio is rising. </t>
    </r>
    <r>
      <rPr>
        <b/>
        <sz val="10"/>
        <color theme="1"/>
        <rFont val="Calibri"/>
        <family val="2"/>
      </rPr>
      <t xml:space="preserve">P/E </t>
    </r>
    <r>
      <rPr>
        <sz val="10"/>
        <color theme="1"/>
        <rFont val="Calibri"/>
        <family val="2"/>
      </rPr>
      <t>Ratio jumped from</t>
    </r>
    <r>
      <rPr>
        <b/>
        <sz val="10"/>
        <color theme="1"/>
        <rFont val="Calibri"/>
        <family val="2"/>
      </rPr>
      <t xml:space="preserve"> 0.48 (2022) to 40.48 (2024). </t>
    </r>
  </si>
  <si>
    <r>
      <rPr>
        <b/>
        <sz val="10"/>
        <color rgb="FFFF00FF"/>
        <rFont val="Calibri"/>
        <family val="2"/>
      </rPr>
      <t xml:space="preserve">Hold BEL. </t>
    </r>
    <r>
      <rPr>
        <b/>
        <sz val="10"/>
        <color theme="1"/>
        <rFont val="Calibri"/>
        <family val="2"/>
      </rPr>
      <t xml:space="preserve">Zero debt </t>
    </r>
    <r>
      <rPr>
        <sz val="10"/>
        <color theme="1"/>
        <rFont val="Calibri"/>
        <family val="2"/>
      </rPr>
      <t xml:space="preserve">makes it a low-risk investment. </t>
    </r>
    <r>
      <rPr>
        <b/>
        <sz val="10"/>
        <color theme="1"/>
        <rFont val="Calibri"/>
        <family val="2"/>
      </rPr>
      <t>Huge cash reserves</t>
    </r>
    <r>
      <rPr>
        <sz val="10"/>
        <color theme="1"/>
        <rFont val="Calibri"/>
        <family val="2"/>
      </rPr>
      <t xml:space="preserve"> and no debt pressure. </t>
    </r>
    <r>
      <rPr>
        <b/>
        <sz val="10"/>
        <color theme="1"/>
        <rFont val="Calibri"/>
        <family val="2"/>
      </rPr>
      <t xml:space="preserve">RSI: 55.15 </t>
    </r>
    <r>
      <rPr>
        <sz val="10"/>
        <color theme="1"/>
        <rFont val="Calibri"/>
        <family val="2"/>
      </rPr>
      <t>→ Neutral zone, not overbought. Consistently pays dividends due to</t>
    </r>
    <r>
      <rPr>
        <b/>
        <sz val="10"/>
        <color theme="1"/>
        <rFont val="Calibri"/>
        <family val="2"/>
      </rPr>
      <t xml:space="preserve"> strong profitability.</t>
    </r>
    <r>
      <rPr>
        <sz val="10"/>
        <color theme="1"/>
        <rFont val="Calibri"/>
        <family val="2"/>
      </rPr>
      <t xml:space="preserve">
</t>
    </r>
    <r>
      <rPr>
        <b/>
        <sz val="10"/>
        <color theme="1"/>
        <rFont val="Calibri"/>
        <family val="2"/>
      </rPr>
      <t>BUY on dips</t>
    </r>
    <r>
      <rPr>
        <sz val="10"/>
        <color theme="1"/>
        <rFont val="Calibri"/>
        <family val="2"/>
      </rPr>
      <t xml:space="preserve"> (if RSI falls to 40 or below) </t>
    </r>
  </si>
  <si>
    <r>
      <t xml:space="preserve">Hold HUL. 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Net profit margins are stable</t>
    </r>
    <r>
      <rPr>
        <sz val="10"/>
        <color rgb="FF000000"/>
        <rFont val="Calibri"/>
        <family val="2"/>
      </rPr>
      <t xml:space="preserve">. Top-selling brands like Lux, Dove, Surf Excel, Pepsodent, Horlicks, and Bru. </t>
    </r>
    <r>
      <rPr>
        <b/>
        <sz val="10"/>
        <color rgb="FF000000"/>
        <rFont val="Calibri"/>
        <family val="2"/>
      </rPr>
      <t>Zero debt,</t>
    </r>
    <r>
      <rPr>
        <sz val="10"/>
        <color rgb="FF000000"/>
        <rFont val="Calibri"/>
        <family val="2"/>
      </rPr>
      <t xml:space="preserve"> meaning no financial burden. Interest Coverage Ratio:</t>
    </r>
    <r>
      <rPr>
        <b/>
        <sz val="10"/>
        <color rgb="FF000000"/>
        <rFont val="Calibri"/>
        <family val="2"/>
      </rPr>
      <t xml:space="preserve"> 50.21 -- Strong cash flow</t>
    </r>
    <r>
      <rPr>
        <sz val="10"/>
        <color rgb="FF000000"/>
        <rFont val="Calibri"/>
        <family val="2"/>
      </rPr>
      <t xml:space="preserve">. </t>
    </r>
    <r>
      <rPr>
        <b/>
        <sz val="10"/>
        <color rgb="FF000000"/>
        <rFont val="Calibri"/>
        <family val="2"/>
      </rPr>
      <t>RSI: 38.78 -- Near oversold.</t>
    </r>
  </si>
  <si>
    <t>Nifty 50</t>
  </si>
  <si>
    <t xml:space="preserve">Base Value </t>
  </si>
  <si>
    <t>Original Investment(19th march)</t>
  </si>
  <si>
    <t>Stock</t>
  </si>
  <si>
    <t>Sensex</t>
  </si>
  <si>
    <t>HDFC Bank conducted a 2:1 stock split on August 26, 2025</t>
  </si>
  <si>
    <t>Nestle India issued 1:1 bonus shares with a record date of August 8, 2025</t>
  </si>
  <si>
    <t>Profit %</t>
  </si>
  <si>
    <t>Benchmark</t>
  </si>
  <si>
    <t>Base Price</t>
  </si>
  <si>
    <t>Price on 20th April,2025</t>
  </si>
  <si>
    <t>Price on 20th June,2025</t>
  </si>
  <si>
    <t>Return as on 20th April</t>
  </si>
  <si>
    <t>Return as on 20th June</t>
  </si>
  <si>
    <t>Price on 20th Sept,2025</t>
  </si>
  <si>
    <t>Return as on 20th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</si>
</sst>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([$INR]\ * #,##0.00_);_([$INR]\ * \(#,##0.00\);_([$INR]\ * &quot;-&quot;??_);_(@_)"/>
  </numFmts>
  <fonts count="23">
    <font>
      <sz val="10"/>
      <color rgb="FF000000"/>
      <name val="Arial"/>
      <charset val="134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FFFF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b/>
      <u/>
      <sz val="12"/>
      <color rgb="FF0000FF"/>
      <name val="Calibri"/>
      <family val="2"/>
    </font>
    <font>
      <b/>
      <sz val="10"/>
      <color rgb="FFFF0000"/>
      <name val="Calibri"/>
      <family val="2"/>
    </font>
    <font>
      <b/>
      <sz val="10"/>
      <color rgb="FFFF00FF"/>
      <name val="Calibri"/>
      <family val="2"/>
    </font>
    <font>
      <sz val="10"/>
      <color rgb="FFFF00FF"/>
      <name val="Calibri"/>
      <family val="2"/>
    </font>
    <font>
      <sz val="8"/>
      <color rgb="FF282828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charset val="134"/>
      <scheme val="minor"/>
    </font>
    <font>
      <b/>
      <sz val="12"/>
      <color theme="1"/>
      <name val="Calibri"/>
      <family val="2"/>
    </font>
    <font>
      <b/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i/>
      <sz val="1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989EB"/>
        <bgColor rgb="FF8989EB"/>
      </patternFill>
    </fill>
    <fill>
      <patternFill patternType="solid">
        <fgColor rgb="FF63D297"/>
        <bgColor rgb="FF63D29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8BC34A"/>
      </left>
      <right style="thin">
        <color rgb="FF8BC34A"/>
      </right>
      <top style="thin">
        <color rgb="FF8BC34A"/>
      </top>
      <bottom style="thin">
        <color rgb="FF8BC34A"/>
      </bottom>
      <diagonal/>
    </border>
    <border>
      <left/>
      <right style="thin">
        <color rgb="FF8BC34A"/>
      </right>
      <top style="thin">
        <color rgb="FF8BC34A"/>
      </top>
      <bottom style="thin">
        <color rgb="FF8BC34A"/>
      </bottom>
      <diagonal/>
    </border>
    <border>
      <left style="thin">
        <color rgb="FF8BC34A"/>
      </left>
      <right style="thin">
        <color rgb="FF8BC34A"/>
      </right>
      <top/>
      <bottom style="thin">
        <color rgb="FF8BC34A"/>
      </bottom>
      <diagonal/>
    </border>
    <border>
      <left/>
      <right style="thin">
        <color rgb="FF8BC34A"/>
      </right>
      <top/>
      <bottom style="thin">
        <color rgb="FF8BC34A"/>
      </bottom>
      <diagonal/>
    </border>
    <border>
      <left/>
      <right/>
      <top/>
      <bottom style="thin">
        <color rgb="FF34A853"/>
      </bottom>
      <diagonal/>
    </border>
    <border>
      <left style="thin">
        <color rgb="FF34A853"/>
      </left>
      <right style="thin">
        <color rgb="FF34A853"/>
      </right>
      <top/>
      <bottom style="thin">
        <color rgb="FF34A853"/>
      </bottom>
      <diagonal/>
    </border>
    <border>
      <left/>
      <right style="thin">
        <color rgb="FF34A853"/>
      </right>
      <top/>
      <bottom style="thin">
        <color rgb="FF34A85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BC34A"/>
      </left>
      <right style="thin">
        <color rgb="FF8BC34A"/>
      </right>
      <top style="thin">
        <color rgb="FF8BC34A"/>
      </top>
      <bottom/>
      <diagonal/>
    </border>
    <border>
      <left/>
      <right style="thin">
        <color rgb="FF4285F4"/>
      </right>
      <top style="thin">
        <color rgb="FF4285F4"/>
      </top>
      <bottom/>
      <diagonal/>
    </border>
    <border>
      <left style="thin">
        <color rgb="FF8BC34A"/>
      </left>
      <right/>
      <top style="thin">
        <color rgb="FF8BC34A"/>
      </top>
      <bottom style="thin">
        <color rgb="FF8BC34A"/>
      </bottom>
      <diagonal/>
    </border>
    <border>
      <left style="thin">
        <color rgb="FF8BC34A"/>
      </left>
      <right/>
      <top/>
      <bottom style="thin">
        <color rgb="FF8BC3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0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9" borderId="0" xfId="0" applyFont="1" applyFill="1" applyAlignment="1"/>
    <xf numFmtId="0" fontId="3" fillId="5" borderId="0" xfId="0" applyFont="1" applyFill="1" applyAlignment="1">
      <alignment horizontal="center"/>
    </xf>
    <xf numFmtId="0" fontId="3" fillId="11" borderId="0" xfId="0" applyFont="1" applyFill="1" applyAlignment="1"/>
    <xf numFmtId="0" fontId="3" fillId="11" borderId="16" xfId="0" applyFont="1" applyFill="1" applyBorder="1" applyAlignment="1">
      <alignment horizontal="right"/>
    </xf>
    <xf numFmtId="0" fontId="1" fillId="5" borderId="1" xfId="0" applyFont="1" applyFill="1" applyBorder="1" applyAlignment="1"/>
    <xf numFmtId="4" fontId="1" fillId="0" borderId="1" xfId="0" applyNumberFormat="1" applyFont="1" applyBorder="1" applyAlignment="1"/>
    <xf numFmtId="0" fontId="1" fillId="0" borderId="1" xfId="0" applyFont="1" applyBorder="1" applyAlignment="1"/>
    <xf numFmtId="2" fontId="1" fillId="0" borderId="1" xfId="0" applyNumberFormat="1" applyFont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3" fillId="0" borderId="0" xfId="0" applyFont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0" xfId="0" applyFont="1" applyAlignment="1">
      <alignment horizontal="right"/>
    </xf>
    <xf numFmtId="0" fontId="1" fillId="0" borderId="7" xfId="0" applyFont="1" applyBorder="1" applyAlignment="1"/>
    <xf numFmtId="0" fontId="3" fillId="3" borderId="8" xfId="0" applyFont="1" applyFill="1" applyBorder="1" applyAlignment="1"/>
    <xf numFmtId="0" fontId="3" fillId="3" borderId="9" xfId="0" applyFont="1" applyFill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/>
    <xf numFmtId="0" fontId="5" fillId="0" borderId="10" xfId="0" applyFont="1" applyBorder="1" applyAlignment="1"/>
    <xf numFmtId="0" fontId="6" fillId="0" borderId="10" xfId="0" applyFont="1" applyBorder="1" applyAlignment="1"/>
    <xf numFmtId="0" fontId="6" fillId="0" borderId="10" xfId="0" applyFont="1" applyBorder="1" applyAlignment="1">
      <alignment horizontal="right"/>
    </xf>
    <xf numFmtId="4" fontId="6" fillId="0" borderId="10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0" fontId="7" fillId="5" borderId="0" xfId="0" applyFont="1" applyFill="1" applyAlignment="1"/>
    <xf numFmtId="0" fontId="3" fillId="7" borderId="0" xfId="0" applyFont="1" applyFill="1" applyAlignment="1"/>
    <xf numFmtId="0" fontId="3" fillId="0" borderId="1" xfId="0" applyFont="1" applyBorder="1" applyAlignment="1"/>
    <xf numFmtId="0" fontId="3" fillId="0" borderId="10" xfId="0" applyFont="1" applyBorder="1" applyAlignment="1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9" fillId="0" borderId="10" xfId="0" applyFont="1" applyBorder="1" applyAlignment="1"/>
    <xf numFmtId="0" fontId="1" fillId="0" borderId="10" xfId="0" applyFont="1" applyBorder="1" applyAlignment="1"/>
    <xf numFmtId="0" fontId="3" fillId="0" borderId="1" xfId="0" applyFont="1" applyBorder="1"/>
    <xf numFmtId="10" fontId="3" fillId="0" borderId="1" xfId="0" applyNumberFormat="1" applyFont="1" applyBorder="1" applyAlignment="1">
      <alignment horizontal="right"/>
    </xf>
    <xf numFmtId="0" fontId="3" fillId="2" borderId="13" xfId="0" applyFont="1" applyFill="1" applyBorder="1" applyAlignment="1">
      <alignment horizontal="center"/>
    </xf>
    <xf numFmtId="0" fontId="3" fillId="2" borderId="0" xfId="0" applyFont="1" applyFill="1"/>
    <xf numFmtId="0" fontId="3" fillId="2" borderId="17" xfId="0" applyFont="1" applyFill="1" applyBorder="1" applyAlignment="1"/>
    <xf numFmtId="0" fontId="3" fillId="0" borderId="18" xfId="0" applyFont="1" applyBorder="1" applyAlignment="1"/>
    <xf numFmtId="0" fontId="3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19" xfId="0" applyFont="1" applyBorder="1" applyAlignment="1"/>
    <xf numFmtId="0" fontId="1" fillId="0" borderId="3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14" fillId="5" borderId="0" xfId="0" applyFont="1" applyFill="1"/>
    <xf numFmtId="0" fontId="3" fillId="2" borderId="0" xfId="0" applyFont="1" applyFill="1" applyAlignment="1"/>
    <xf numFmtId="0" fontId="1" fillId="0" borderId="0" xfId="0" applyFont="1" applyAlignment="1">
      <alignment vertical="top" wrapText="1"/>
    </xf>
    <xf numFmtId="0" fontId="3" fillId="4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3" fillId="2" borderId="14" xfId="0" applyFont="1" applyFill="1" applyBorder="1" applyAlignment="1">
      <alignment horizontal="center"/>
    </xf>
    <xf numFmtId="0" fontId="4" fillId="0" borderId="14" xfId="0" applyFont="1" applyBorder="1"/>
    <xf numFmtId="0" fontId="16" fillId="0" borderId="0" xfId="0" applyFont="1" applyAlignment="1"/>
    <xf numFmtId="0" fontId="3" fillId="10" borderId="0" xfId="0" applyFont="1" applyFill="1" applyAlignment="1">
      <alignment horizontal="center"/>
    </xf>
    <xf numFmtId="0" fontId="3" fillId="6" borderId="0" xfId="0" applyFont="1" applyFill="1" applyAlignment="1"/>
    <xf numFmtId="0" fontId="8" fillId="8" borderId="15" xfId="0" applyFont="1" applyFill="1" applyBorder="1" applyAlignment="1">
      <alignment horizontal="center"/>
    </xf>
    <xf numFmtId="0" fontId="4" fillId="0" borderId="12" xfId="0" applyFont="1" applyBorder="1"/>
    <xf numFmtId="0" fontId="4" fillId="0" borderId="11" xfId="0" applyFont="1" applyBorder="1"/>
    <xf numFmtId="0" fontId="3" fillId="0" borderId="13" xfId="0" applyFont="1" applyBorder="1" applyAlignment="1">
      <alignment horizontal="center"/>
    </xf>
    <xf numFmtId="0" fontId="4" fillId="0" borderId="2" xfId="0" applyFont="1" applyBorder="1"/>
    <xf numFmtId="0" fontId="5" fillId="4" borderId="0" xfId="0" applyFont="1" applyFill="1" applyAlignment="1"/>
    <xf numFmtId="0" fontId="1" fillId="0" borderId="7" xfId="0" applyFont="1" applyBorder="1" applyAlignment="1"/>
    <xf numFmtId="0" fontId="4" fillId="0" borderId="7" xfId="0" applyFont="1" applyBorder="1"/>
    <xf numFmtId="0" fontId="4" fillId="0" borderId="9" xfId="0" applyFont="1" applyBorder="1"/>
    <xf numFmtId="10" fontId="0" fillId="0" borderId="0" xfId="0" applyNumberFormat="1" applyFont="1" applyAlignment="1"/>
    <xf numFmtId="168" fontId="0" fillId="0" borderId="0" xfId="0" applyNumberFormat="1" applyFont="1" applyAlignment="1"/>
    <xf numFmtId="0" fontId="0" fillId="0" borderId="20" xfId="0" applyFont="1" applyBorder="1" applyAlignment="1"/>
    <xf numFmtId="168" fontId="1" fillId="0" borderId="20" xfId="0" applyNumberFormat="1" applyFont="1" applyBorder="1" applyAlignment="1">
      <alignment horizontal="right"/>
    </xf>
    <xf numFmtId="0" fontId="9" fillId="0" borderId="20" xfId="0" applyFont="1" applyBorder="1" applyAlignment="1"/>
    <xf numFmtId="0" fontId="1" fillId="0" borderId="20" xfId="0" applyFont="1" applyBorder="1" applyAlignment="1">
      <alignment horizontal="right"/>
    </xf>
    <xf numFmtId="0" fontId="1" fillId="0" borderId="20" xfId="0" applyFont="1" applyBorder="1" applyAlignment="1"/>
    <xf numFmtId="168" fontId="0" fillId="0" borderId="20" xfId="0" applyNumberFormat="1" applyFont="1" applyBorder="1" applyAlignment="1"/>
    <xf numFmtId="168" fontId="3" fillId="0" borderId="20" xfId="0" applyNumberFormat="1" applyFont="1" applyBorder="1" applyAlignment="1">
      <alignment horizontal="right"/>
    </xf>
    <xf numFmtId="0" fontId="0" fillId="12" borderId="0" xfId="0" applyFont="1" applyFill="1" applyAlignment="1"/>
    <xf numFmtId="168" fontId="3" fillId="0" borderId="20" xfId="0" applyNumberFormat="1" applyFont="1" applyBorder="1" applyAlignment="1"/>
    <xf numFmtId="168" fontId="3" fillId="0" borderId="21" xfId="0" applyNumberFormat="1" applyFont="1" applyBorder="1" applyAlignment="1">
      <alignment horizontal="right"/>
    </xf>
    <xf numFmtId="168" fontId="18" fillId="14" borderId="20" xfId="0" applyNumberFormat="1" applyFont="1" applyFill="1" applyBorder="1" applyAlignment="1">
      <alignment horizontal="right"/>
    </xf>
    <xf numFmtId="10" fontId="18" fillId="12" borderId="20" xfId="1" applyNumberFormat="1" applyFont="1" applyFill="1" applyBorder="1" applyAlignment="1">
      <alignment horizontal="right"/>
    </xf>
    <xf numFmtId="168" fontId="20" fillId="0" borderId="20" xfId="0" applyNumberFormat="1" applyFont="1" applyBorder="1" applyAlignment="1">
      <alignment horizontal="right"/>
    </xf>
    <xf numFmtId="0" fontId="0" fillId="0" borderId="21" xfId="0" applyFont="1" applyBorder="1" applyAlignment="1"/>
    <xf numFmtId="168" fontId="0" fillId="0" borderId="21" xfId="0" applyNumberFormat="1" applyFont="1" applyBorder="1" applyAlignment="1"/>
    <xf numFmtId="168" fontId="19" fillId="13" borderId="20" xfId="0" applyNumberFormat="1" applyFont="1" applyFill="1" applyBorder="1" applyAlignment="1">
      <alignment horizontal="left" vertical="center" wrapText="1"/>
    </xf>
    <xf numFmtId="0" fontId="19" fillId="13" borderId="20" xfId="0" applyFont="1" applyFill="1" applyBorder="1" applyAlignment="1">
      <alignment horizontal="left" vertical="center" wrapText="1"/>
    </xf>
    <xf numFmtId="168" fontId="5" fillId="13" borderId="20" xfId="0" applyNumberFormat="1" applyFont="1" applyFill="1" applyBorder="1" applyAlignment="1">
      <alignment horizontal="left" vertical="center"/>
    </xf>
    <xf numFmtId="168" fontId="5" fillId="13" borderId="20" xfId="0" applyNumberFormat="1" applyFont="1" applyFill="1" applyBorder="1" applyAlignment="1">
      <alignment horizontal="left"/>
    </xf>
    <xf numFmtId="168" fontId="19" fillId="13" borderId="20" xfId="0" applyNumberFormat="1" applyFont="1" applyFill="1" applyBorder="1" applyAlignment="1">
      <alignment vertical="center" wrapText="1"/>
    </xf>
    <xf numFmtId="0" fontId="21" fillId="12" borderId="0" xfId="0" applyFont="1" applyFill="1" applyAlignment="1"/>
    <xf numFmtId="0" fontId="22" fillId="12" borderId="0" xfId="0" applyFont="1" applyFill="1" applyAlignment="1"/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5" sqref="A5"/>
    </sheetView>
  </sheetViews>
  <sheetFormatPr defaultColWidth="12.6328125" defaultRowHeight="15.75" customHeight="1"/>
  <cols>
    <col min="1" max="1" width="25.453125" style="3" customWidth="1"/>
    <col min="2" max="6" width="12.6328125" style="3"/>
    <col min="7" max="7" width="5" style="3" customWidth="1"/>
    <col min="8" max="8" width="3.36328125" style="3" customWidth="1"/>
    <col min="9" max="9" width="46" style="3" customWidth="1"/>
    <col min="10" max="16384" width="12.6328125" style="3"/>
  </cols>
  <sheetData>
    <row r="1" spans="1:26" ht="15.75" customHeight="1">
      <c r="A1" s="45" t="s">
        <v>0</v>
      </c>
      <c r="B1" s="63" t="s">
        <v>1</v>
      </c>
      <c r="C1" s="64"/>
      <c r="D1" s="64"/>
      <c r="E1" s="63" t="s">
        <v>2</v>
      </c>
      <c r="F1" s="64"/>
      <c r="G1" s="2"/>
      <c r="H1" s="1"/>
      <c r="I1" s="14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6" t="s">
        <v>4</v>
      </c>
      <c r="B2" s="47" t="s">
        <v>5</v>
      </c>
      <c r="C2" s="47" t="s">
        <v>6</v>
      </c>
      <c r="D2" s="47" t="s">
        <v>7</v>
      </c>
      <c r="E2" s="47" t="s">
        <v>8</v>
      </c>
      <c r="F2" s="47" t="s">
        <v>9</v>
      </c>
      <c r="G2" s="2"/>
      <c r="H2" s="17">
        <v>1</v>
      </c>
      <c r="I2" s="14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8" t="s">
        <v>10</v>
      </c>
      <c r="B3" s="49">
        <v>2024</v>
      </c>
      <c r="C3" s="49">
        <v>2023</v>
      </c>
      <c r="D3" s="49">
        <v>2022</v>
      </c>
      <c r="E3" s="50"/>
      <c r="F3" s="50"/>
      <c r="G3" s="2"/>
      <c r="H3" s="20" t="s">
        <v>11</v>
      </c>
      <c r="I3" s="1" t="s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1" t="s">
        <v>12</v>
      </c>
      <c r="B4" s="52">
        <v>32.21</v>
      </c>
      <c r="C4" s="52">
        <v>30.86</v>
      </c>
      <c r="D4" s="52">
        <v>32.04</v>
      </c>
      <c r="E4" s="50"/>
      <c r="F4" s="50"/>
      <c r="G4" s="2"/>
      <c r="H4" s="20" t="s">
        <v>13</v>
      </c>
      <c r="I4" s="1" t="s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1" t="s">
        <v>15</v>
      </c>
      <c r="B5" s="52">
        <v>18.64</v>
      </c>
      <c r="C5" s="52">
        <v>17.73</v>
      </c>
      <c r="D5" s="52">
        <v>16.62</v>
      </c>
      <c r="E5" s="50"/>
      <c r="F5" s="50"/>
      <c r="G5" s="2"/>
      <c r="H5" s="20" t="s">
        <v>16</v>
      </c>
      <c r="I5" s="1" t="s">
        <v>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1" t="s">
        <v>18</v>
      </c>
      <c r="B6" s="52">
        <v>3.85</v>
      </c>
      <c r="C6" s="52">
        <v>12.68</v>
      </c>
      <c r="D6" s="52">
        <v>270.33</v>
      </c>
      <c r="E6" s="50"/>
      <c r="F6" s="50"/>
      <c r="G6" s="2"/>
      <c r="H6" s="20" t="s">
        <v>19</v>
      </c>
      <c r="I6" s="1" t="s">
        <v>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1" t="s">
        <v>21</v>
      </c>
      <c r="B7" s="52">
        <v>5.5</v>
      </c>
      <c r="C7" s="52">
        <v>4.1100000000000003</v>
      </c>
      <c r="D7" s="52">
        <v>9.64</v>
      </c>
      <c r="E7" s="50"/>
      <c r="F7" s="50"/>
      <c r="G7" s="2"/>
      <c r="H7" s="20" t="s">
        <v>22</v>
      </c>
      <c r="I7" s="1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1" t="s">
        <v>24</v>
      </c>
      <c r="B8" s="52">
        <v>43.05</v>
      </c>
      <c r="C8" s="52">
        <v>42.4</v>
      </c>
      <c r="D8" s="52">
        <v>37.53</v>
      </c>
      <c r="E8" s="50"/>
      <c r="F8" s="50"/>
      <c r="G8" s="2"/>
      <c r="H8" s="20" t="s">
        <v>25</v>
      </c>
      <c r="I8" s="1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0" t="s">
        <v>27</v>
      </c>
      <c r="I9" s="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45" t="s">
        <v>0</v>
      </c>
      <c r="B10" s="63" t="s">
        <v>1</v>
      </c>
      <c r="C10" s="64"/>
      <c r="D10" s="64"/>
      <c r="E10" s="63" t="s">
        <v>2</v>
      </c>
      <c r="F10" s="64"/>
      <c r="G10" s="2"/>
      <c r="H10" s="20" t="s">
        <v>29</v>
      </c>
      <c r="I10" s="1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46" t="s">
        <v>14</v>
      </c>
      <c r="B11" s="47" t="s">
        <v>5</v>
      </c>
      <c r="C11" s="47" t="s">
        <v>6</v>
      </c>
      <c r="D11" s="47" t="s">
        <v>7</v>
      </c>
      <c r="E11" s="47" t="s">
        <v>8</v>
      </c>
      <c r="F11" s="47" t="s">
        <v>9</v>
      </c>
      <c r="G11" s="2"/>
      <c r="H11" s="17">
        <v>2</v>
      </c>
      <c r="I11" s="14" t="s">
        <v>31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8" t="s">
        <v>10</v>
      </c>
      <c r="B12" s="49">
        <v>2024</v>
      </c>
      <c r="C12" s="49">
        <v>2023</v>
      </c>
      <c r="D12" s="49">
        <v>2022</v>
      </c>
      <c r="E12" s="50"/>
      <c r="F12" s="50"/>
      <c r="G12" s="2"/>
      <c r="H12" s="20" t="s">
        <v>11</v>
      </c>
      <c r="I12" s="1" t="s">
        <v>32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1" t="s">
        <v>12</v>
      </c>
      <c r="B13" s="52">
        <v>2.6</v>
      </c>
      <c r="C13" s="52">
        <v>1.31</v>
      </c>
      <c r="D13" s="52">
        <v>1.87</v>
      </c>
      <c r="E13" s="50"/>
      <c r="F13" s="50"/>
      <c r="G13" s="2"/>
      <c r="H13" s="20" t="s">
        <v>13</v>
      </c>
      <c r="I13" s="1" t="s">
        <v>33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1" t="s">
        <v>15</v>
      </c>
      <c r="B14" s="52">
        <v>2.0099999999999998</v>
      </c>
      <c r="C14" s="52">
        <v>1.04</v>
      </c>
      <c r="D14" s="52">
        <v>1.1299999999999999</v>
      </c>
      <c r="E14" s="50"/>
      <c r="F14" s="5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1" t="s">
        <v>18</v>
      </c>
      <c r="B15" s="52">
        <v>1.38</v>
      </c>
      <c r="C15" s="52">
        <v>0.99</v>
      </c>
      <c r="D15" s="52">
        <v>1.24</v>
      </c>
      <c r="E15" s="50"/>
      <c r="F15" s="50"/>
      <c r="G15" s="2"/>
      <c r="H15" s="2"/>
      <c r="I15" s="53" t="s">
        <v>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1" t="s">
        <v>21</v>
      </c>
      <c r="B16" s="52">
        <v>7.3</v>
      </c>
      <c r="C16" s="52">
        <v>4.04</v>
      </c>
      <c r="D16" s="52">
        <v>3.35</v>
      </c>
      <c r="E16" s="50"/>
      <c r="F16" s="50"/>
      <c r="G16" s="2"/>
      <c r="H16" s="2"/>
      <c r="I16" s="54" t="s">
        <v>35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1" t="s">
        <v>24</v>
      </c>
      <c r="B17" s="52">
        <v>8.82</v>
      </c>
      <c r="C17" s="52">
        <v>10.17</v>
      </c>
      <c r="D17" s="52">
        <v>9.41</v>
      </c>
      <c r="E17" s="50"/>
      <c r="F17" s="50"/>
      <c r="G17" s="2"/>
      <c r="H17" s="2"/>
      <c r="I17" s="59" t="s">
        <v>165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6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45" t="s">
        <v>0</v>
      </c>
      <c r="B19" s="63" t="s">
        <v>1</v>
      </c>
      <c r="C19" s="64"/>
      <c r="D19" s="64"/>
      <c r="E19" s="63" t="s">
        <v>2</v>
      </c>
      <c r="F19" s="64"/>
      <c r="G19" s="2"/>
      <c r="H19" s="2"/>
      <c r="I19" s="6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46" t="s">
        <v>17</v>
      </c>
      <c r="B20" s="47" t="s">
        <v>5</v>
      </c>
      <c r="C20" s="47" t="s">
        <v>6</v>
      </c>
      <c r="D20" s="47" t="s">
        <v>7</v>
      </c>
      <c r="E20" s="47" t="s">
        <v>8</v>
      </c>
      <c r="F20" s="47" t="s">
        <v>9</v>
      </c>
      <c r="G20" s="2"/>
      <c r="H20" s="2"/>
      <c r="I20" s="6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8" t="s">
        <v>10</v>
      </c>
      <c r="B21" s="49">
        <v>2024</v>
      </c>
      <c r="C21" s="49">
        <v>2023</v>
      </c>
      <c r="D21" s="49">
        <v>2022</v>
      </c>
      <c r="E21" s="50"/>
      <c r="F21" s="5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1" t="s">
        <v>12</v>
      </c>
      <c r="B22" s="52">
        <v>8.32</v>
      </c>
      <c r="C22" s="52">
        <v>4.8899999999999997</v>
      </c>
      <c r="D22" s="52">
        <v>5.12</v>
      </c>
      <c r="E22" s="50"/>
      <c r="F22" s="50"/>
      <c r="G22" s="2"/>
      <c r="H22" s="2"/>
      <c r="I22" s="54" t="s">
        <v>36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1" t="s">
        <v>15</v>
      </c>
      <c r="B23" s="52">
        <v>18.02</v>
      </c>
      <c r="C23" s="52">
        <v>9.8800000000000008</v>
      </c>
      <c r="D23" s="52">
        <v>8.1199999999999992</v>
      </c>
      <c r="E23" s="50"/>
      <c r="F23" s="50"/>
      <c r="G23" s="2"/>
      <c r="H23" s="2"/>
      <c r="I23" s="61" t="s">
        <v>166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1" t="s">
        <v>18</v>
      </c>
      <c r="B24" s="52">
        <v>40.479999999999997</v>
      </c>
      <c r="C24" s="52">
        <v>8.24</v>
      </c>
      <c r="D24" s="52">
        <v>0.48</v>
      </c>
      <c r="E24" s="50"/>
      <c r="F24" s="50"/>
      <c r="G24" s="2"/>
      <c r="H24" s="2"/>
      <c r="I24" s="6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1" t="s">
        <v>21</v>
      </c>
      <c r="B25" s="52">
        <v>36.64</v>
      </c>
      <c r="C25" s="52">
        <v>23.73</v>
      </c>
      <c r="D25" s="52">
        <v>7.29</v>
      </c>
      <c r="E25" s="50"/>
      <c r="F25" s="50"/>
      <c r="G25" s="2"/>
      <c r="H25" s="2"/>
      <c r="I25" s="6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1" t="s">
        <v>24</v>
      </c>
      <c r="B26" s="52">
        <v>52.6</v>
      </c>
      <c r="C26" s="52">
        <v>60.39</v>
      </c>
      <c r="D26" s="52">
        <v>54.59</v>
      </c>
      <c r="E26" s="50"/>
      <c r="F26" s="50"/>
      <c r="G26" s="2"/>
      <c r="H26" s="2"/>
      <c r="I26" s="6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55"/>
      <c r="C27" s="2"/>
      <c r="D27" s="2"/>
      <c r="E27" s="2"/>
      <c r="F27" s="2"/>
      <c r="G27" s="2"/>
      <c r="H27" s="2"/>
      <c r="I27" s="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5" t="s">
        <v>0</v>
      </c>
      <c r="B28" s="63" t="s">
        <v>1</v>
      </c>
      <c r="C28" s="64"/>
      <c r="D28" s="64"/>
      <c r="E28" s="63" t="s">
        <v>2</v>
      </c>
      <c r="F28" s="64"/>
      <c r="G28" s="2"/>
      <c r="H28" s="2"/>
      <c r="I28" s="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6" t="s">
        <v>37</v>
      </c>
      <c r="B29" s="47" t="s">
        <v>5</v>
      </c>
      <c r="C29" s="47" t="s">
        <v>6</v>
      </c>
      <c r="D29" s="47" t="s">
        <v>7</v>
      </c>
      <c r="E29" s="47" t="s">
        <v>8</v>
      </c>
      <c r="F29" s="47" t="s">
        <v>9</v>
      </c>
      <c r="G29" s="2"/>
      <c r="H29" s="2"/>
      <c r="I29" s="5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8" t="s">
        <v>10</v>
      </c>
      <c r="B30" s="49">
        <v>2024</v>
      </c>
      <c r="C30" s="49">
        <v>2023</v>
      </c>
      <c r="D30" s="49">
        <v>2022</v>
      </c>
      <c r="E30" s="50"/>
      <c r="F30" s="50"/>
      <c r="G30" s="2"/>
      <c r="H30" s="2"/>
      <c r="I30" s="54" t="s">
        <v>38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1" t="s">
        <v>12</v>
      </c>
      <c r="B31" s="52">
        <v>59.8</v>
      </c>
      <c r="C31" s="52">
        <v>57.03</v>
      </c>
      <c r="D31" s="52">
        <v>55.72</v>
      </c>
      <c r="E31" s="50"/>
      <c r="F31" s="50"/>
      <c r="G31" s="2"/>
      <c r="H31" s="2"/>
      <c r="I31" s="61" t="s">
        <v>167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1" t="s">
        <v>15</v>
      </c>
      <c r="B32" s="52">
        <v>28.95</v>
      </c>
      <c r="C32" s="52">
        <v>28.81</v>
      </c>
      <c r="D32" s="52">
        <v>32.5</v>
      </c>
      <c r="E32" s="50"/>
      <c r="F32" s="50"/>
      <c r="G32" s="2"/>
      <c r="H32" s="2"/>
      <c r="I32" s="6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1" t="s">
        <v>18</v>
      </c>
      <c r="B33" s="52">
        <v>23.37</v>
      </c>
      <c r="C33" s="52">
        <v>24.05</v>
      </c>
      <c r="D33" s="52">
        <v>40.75</v>
      </c>
      <c r="E33" s="50"/>
      <c r="F33" s="50"/>
      <c r="G33" s="2"/>
      <c r="H33" s="2"/>
      <c r="I33" s="6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1" t="s">
        <v>21</v>
      </c>
      <c r="B34" s="52">
        <v>28.52</v>
      </c>
      <c r="C34" s="52">
        <v>24.97</v>
      </c>
      <c r="D34" s="52">
        <v>23.13</v>
      </c>
      <c r="E34" s="50"/>
      <c r="F34" s="50"/>
      <c r="G34" s="2"/>
      <c r="H34" s="2"/>
      <c r="I34" s="6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1" t="s">
        <v>24</v>
      </c>
      <c r="B35" s="52">
        <v>25.07</v>
      </c>
      <c r="C35" s="52">
        <v>24.13</v>
      </c>
      <c r="D35" s="52">
        <v>25.19</v>
      </c>
      <c r="E35" s="50"/>
      <c r="F35" s="50"/>
      <c r="G35" s="2"/>
      <c r="H35" s="2"/>
      <c r="I35" s="6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55"/>
      <c r="C36" s="2"/>
      <c r="D36" s="2"/>
      <c r="E36" s="2"/>
      <c r="F36" s="2"/>
      <c r="G36" s="2"/>
      <c r="H36" s="2"/>
      <c r="I36" s="6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5" t="s">
        <v>0</v>
      </c>
      <c r="B37" s="63" t="s">
        <v>1</v>
      </c>
      <c r="C37" s="64"/>
      <c r="D37" s="64"/>
      <c r="E37" s="63" t="s">
        <v>2</v>
      </c>
      <c r="F37" s="64"/>
      <c r="G37" s="2"/>
      <c r="H37" s="2"/>
      <c r="I37" s="54" t="s">
        <v>39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6" t="s">
        <v>40</v>
      </c>
      <c r="B38" s="47" t="s">
        <v>5</v>
      </c>
      <c r="C38" s="47" t="s">
        <v>6</v>
      </c>
      <c r="D38" s="47" t="s">
        <v>7</v>
      </c>
      <c r="E38" s="47" t="s">
        <v>8</v>
      </c>
      <c r="F38" s="47" t="s">
        <v>9</v>
      </c>
      <c r="G38" s="2"/>
      <c r="H38" s="2"/>
      <c r="I38" s="61" t="s">
        <v>168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8" t="s">
        <v>10</v>
      </c>
      <c r="B39" s="49">
        <v>2024</v>
      </c>
      <c r="C39" s="49">
        <v>2023</v>
      </c>
      <c r="D39" s="49">
        <v>2022</v>
      </c>
      <c r="E39" s="50"/>
      <c r="F39" s="50"/>
      <c r="G39" s="2"/>
      <c r="H39" s="2"/>
      <c r="I39" s="6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1" t="s">
        <v>12</v>
      </c>
      <c r="B40" s="52">
        <v>44</v>
      </c>
      <c r="C40" s="52">
        <v>43.13</v>
      </c>
      <c r="D40" s="52">
        <v>39.340000000000003</v>
      </c>
      <c r="E40" s="50"/>
      <c r="F40" s="50"/>
      <c r="G40" s="2"/>
      <c r="H40" s="2"/>
      <c r="I40" s="6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1" t="s">
        <v>15</v>
      </c>
      <c r="B41" s="52">
        <v>20.34</v>
      </c>
      <c r="C41" s="52">
        <v>20.78</v>
      </c>
      <c r="D41" s="52">
        <v>22.83</v>
      </c>
      <c r="E41" s="50"/>
      <c r="F41" s="50"/>
      <c r="G41" s="2"/>
      <c r="H41" s="2"/>
      <c r="I41" s="6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1" t="s">
        <v>18</v>
      </c>
      <c r="B42" s="52">
        <v>19.14</v>
      </c>
      <c r="C42" s="52">
        <v>19.829999999999998</v>
      </c>
      <c r="D42" s="52">
        <v>36.51</v>
      </c>
      <c r="E42" s="50"/>
      <c r="F42" s="50"/>
      <c r="G42" s="2"/>
      <c r="H42" s="2"/>
      <c r="I42" s="6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1" t="s">
        <v>21</v>
      </c>
      <c r="B43" s="52">
        <v>26.48</v>
      </c>
      <c r="C43" s="52">
        <v>22.66</v>
      </c>
      <c r="D43" s="52">
        <v>20.65</v>
      </c>
      <c r="E43" s="50"/>
      <c r="F43" s="50"/>
      <c r="G43" s="2"/>
      <c r="H43" s="2"/>
      <c r="I43" s="6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1" t="s">
        <v>24</v>
      </c>
      <c r="B44" s="52">
        <v>23.26</v>
      </c>
      <c r="C44" s="52">
        <v>22.38</v>
      </c>
      <c r="D44" s="52">
        <v>23.18</v>
      </c>
      <c r="E44" s="50"/>
      <c r="F44" s="50"/>
      <c r="G44" s="2"/>
      <c r="H44" s="2"/>
      <c r="I44" s="54" t="s">
        <v>41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55"/>
      <c r="C45" s="2"/>
      <c r="D45" s="2"/>
      <c r="E45" s="2"/>
      <c r="F45" s="2"/>
      <c r="G45" s="2"/>
      <c r="H45" s="2"/>
      <c r="I45" s="62" t="s">
        <v>169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45" t="s">
        <v>0</v>
      </c>
      <c r="B46" s="63" t="s">
        <v>1</v>
      </c>
      <c r="C46" s="64"/>
      <c r="D46" s="64"/>
      <c r="E46" s="63" t="s">
        <v>2</v>
      </c>
      <c r="F46" s="64"/>
      <c r="G46" s="2"/>
      <c r="H46" s="2"/>
      <c r="I46" s="6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6" t="s">
        <v>42</v>
      </c>
      <c r="B47" s="47" t="s">
        <v>5</v>
      </c>
      <c r="C47" s="47" t="s">
        <v>6</v>
      </c>
      <c r="D47" s="47" t="s">
        <v>7</v>
      </c>
      <c r="E47" s="47" t="s">
        <v>8</v>
      </c>
      <c r="F47" s="47" t="s">
        <v>9</v>
      </c>
      <c r="G47" s="2"/>
      <c r="H47" s="2"/>
      <c r="I47" s="6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48" t="s">
        <v>10</v>
      </c>
      <c r="B48" s="49">
        <v>2024</v>
      </c>
      <c r="C48" s="49">
        <v>2023</v>
      </c>
      <c r="D48" s="49">
        <v>2022</v>
      </c>
      <c r="E48" s="50"/>
      <c r="F48" s="50"/>
      <c r="G48" s="2"/>
      <c r="H48" s="2"/>
      <c r="I48" s="6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1" t="s">
        <v>12</v>
      </c>
      <c r="B49" s="52">
        <v>31.23</v>
      </c>
      <c r="C49" s="52">
        <v>26.86</v>
      </c>
      <c r="D49" s="52">
        <v>36.53</v>
      </c>
      <c r="E49" s="50"/>
      <c r="F49" s="50"/>
      <c r="G49" s="2"/>
      <c r="H49" s="2"/>
      <c r="I49" s="6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1" t="s">
        <v>15</v>
      </c>
      <c r="B50" s="52">
        <v>11.16</v>
      </c>
      <c r="C50" s="52">
        <v>10.5</v>
      </c>
      <c r="D50" s="52">
        <v>13.87</v>
      </c>
      <c r="E50" s="50"/>
      <c r="F50" s="50"/>
      <c r="G50" s="2"/>
      <c r="H50" s="2"/>
      <c r="I50" s="6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1" t="s">
        <v>18</v>
      </c>
      <c r="B51" s="52">
        <v>3.4</v>
      </c>
      <c r="C51" s="52">
        <v>12.01</v>
      </c>
      <c r="D51" s="52">
        <v>25.58</v>
      </c>
      <c r="E51" s="50"/>
      <c r="F51" s="5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1" t="s">
        <v>21</v>
      </c>
      <c r="B52" s="52">
        <v>19.93</v>
      </c>
      <c r="C52" s="52">
        <v>17.03</v>
      </c>
      <c r="D52" s="52">
        <v>15.33</v>
      </c>
      <c r="E52" s="50"/>
      <c r="F52" s="5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1" t="s">
        <v>24</v>
      </c>
      <c r="B53" s="52">
        <v>16.72</v>
      </c>
      <c r="C53" s="52">
        <v>16.84</v>
      </c>
      <c r="D53" s="52">
        <v>17.22</v>
      </c>
      <c r="E53" s="50"/>
      <c r="F53" s="5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5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5" t="s">
        <v>0</v>
      </c>
      <c r="B55" s="63" t="s">
        <v>1</v>
      </c>
      <c r="C55" s="64"/>
      <c r="D55" s="64"/>
      <c r="E55" s="63" t="s">
        <v>2</v>
      </c>
      <c r="F55" s="6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6" t="s">
        <v>43</v>
      </c>
      <c r="B56" s="47" t="s">
        <v>5</v>
      </c>
      <c r="C56" s="47" t="s">
        <v>6</v>
      </c>
      <c r="D56" s="47" t="s">
        <v>7</v>
      </c>
      <c r="E56" s="47" t="s">
        <v>8</v>
      </c>
      <c r="F56" s="47" t="s">
        <v>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8" t="s">
        <v>10</v>
      </c>
      <c r="B57" s="49">
        <v>2024</v>
      </c>
      <c r="C57" s="49">
        <v>2023</v>
      </c>
      <c r="D57" s="49">
        <v>2022</v>
      </c>
      <c r="E57" s="50"/>
      <c r="F57" s="5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1" t="s">
        <v>12</v>
      </c>
      <c r="B58" s="52">
        <v>1.58</v>
      </c>
      <c r="C58" s="52">
        <v>1.29</v>
      </c>
      <c r="D58" s="52">
        <v>0.98</v>
      </c>
      <c r="E58" s="50"/>
      <c r="F58" s="5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1" t="s">
        <v>15</v>
      </c>
      <c r="B59" s="52">
        <v>1.06</v>
      </c>
      <c r="C59" s="52">
        <v>1.04</v>
      </c>
      <c r="D59" s="52">
        <v>0.95</v>
      </c>
      <c r="E59" s="50"/>
      <c r="F59" s="5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1" t="s">
        <v>18</v>
      </c>
      <c r="B60" s="52">
        <v>0.73</v>
      </c>
      <c r="C60" s="52">
        <v>0.73</v>
      </c>
      <c r="D60" s="52">
        <v>0.57999999999999996</v>
      </c>
      <c r="E60" s="50"/>
      <c r="F60" s="5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1" t="s">
        <v>21</v>
      </c>
      <c r="B61" s="52">
        <v>1.54</v>
      </c>
      <c r="C61" s="52">
        <v>1.46</v>
      </c>
      <c r="D61" s="52">
        <v>1.39</v>
      </c>
      <c r="E61" s="50"/>
      <c r="F61" s="5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1" t="s">
        <v>24</v>
      </c>
      <c r="B62" s="52">
        <v>1.64</v>
      </c>
      <c r="C62" s="52">
        <v>1.38</v>
      </c>
      <c r="D62" s="52">
        <v>1.34</v>
      </c>
      <c r="E62" s="50"/>
      <c r="F62" s="5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5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5" t="s">
        <v>0</v>
      </c>
      <c r="B64" s="63" t="s">
        <v>1</v>
      </c>
      <c r="C64" s="64"/>
      <c r="D64" s="64"/>
      <c r="E64" s="63" t="s">
        <v>2</v>
      </c>
      <c r="F64" s="6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6" t="s">
        <v>44</v>
      </c>
      <c r="B65" s="47" t="s">
        <v>5</v>
      </c>
      <c r="C65" s="47" t="s">
        <v>6</v>
      </c>
      <c r="D65" s="47" t="s">
        <v>7</v>
      </c>
      <c r="E65" s="47" t="s">
        <v>8</v>
      </c>
      <c r="F65" s="47" t="s">
        <v>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48" t="s">
        <v>10</v>
      </c>
      <c r="B66" s="49">
        <v>2024</v>
      </c>
      <c r="C66" s="49">
        <v>2023</v>
      </c>
      <c r="D66" s="49">
        <v>2022</v>
      </c>
      <c r="E66" s="50"/>
      <c r="F66" s="5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1" t="s">
        <v>12</v>
      </c>
      <c r="B67" s="52">
        <v>1.32</v>
      </c>
      <c r="C67" s="52">
        <v>1.0900000000000001</v>
      </c>
      <c r="D67" s="52">
        <v>0.77</v>
      </c>
      <c r="E67" s="50"/>
      <c r="F67" s="5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51" t="s">
        <v>15</v>
      </c>
      <c r="B68" s="52">
        <v>0.85</v>
      </c>
      <c r="C68" s="52">
        <v>0.86</v>
      </c>
      <c r="D68" s="52">
        <v>0.8</v>
      </c>
      <c r="E68" s="50"/>
      <c r="F68" s="5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1" t="s">
        <v>18</v>
      </c>
      <c r="B69" s="52">
        <v>0.24</v>
      </c>
      <c r="C69" s="52">
        <v>0.28000000000000003</v>
      </c>
      <c r="D69" s="52">
        <v>0.21</v>
      </c>
      <c r="E69" s="50"/>
      <c r="F69" s="5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1" t="s">
        <v>21</v>
      </c>
      <c r="B70" s="52">
        <v>1.2</v>
      </c>
      <c r="C70" s="52">
        <v>1.1499999999999999</v>
      </c>
      <c r="D70" s="52">
        <v>1.1100000000000001</v>
      </c>
      <c r="E70" s="50"/>
      <c r="F70" s="5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1" t="s">
        <v>24</v>
      </c>
      <c r="B71" s="52">
        <v>1.33</v>
      </c>
      <c r="C71" s="52">
        <v>1.03</v>
      </c>
      <c r="D71" s="52">
        <v>0.98</v>
      </c>
      <c r="E71" s="50"/>
      <c r="F71" s="5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5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5" t="s">
        <v>0</v>
      </c>
      <c r="B73" s="63" t="s">
        <v>1</v>
      </c>
      <c r="C73" s="64"/>
      <c r="D73" s="64"/>
      <c r="E73" s="63" t="s">
        <v>2</v>
      </c>
      <c r="F73" s="6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6" t="s">
        <v>45</v>
      </c>
      <c r="B74" s="47" t="s">
        <v>5</v>
      </c>
      <c r="C74" s="47" t="s">
        <v>6</v>
      </c>
      <c r="D74" s="47" t="s">
        <v>7</v>
      </c>
      <c r="E74" s="47" t="s">
        <v>8</v>
      </c>
      <c r="F74" s="47" t="s">
        <v>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8" t="s">
        <v>10</v>
      </c>
      <c r="B75" s="49">
        <v>2024</v>
      </c>
      <c r="C75" s="49">
        <v>2023</v>
      </c>
      <c r="D75" s="49">
        <v>2022</v>
      </c>
      <c r="E75" s="50"/>
      <c r="F75" s="5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1" t="s">
        <v>12</v>
      </c>
      <c r="B76" s="52">
        <v>0.02</v>
      </c>
      <c r="C76" s="52">
        <v>0.03</v>
      </c>
      <c r="D76" s="52">
        <v>0.03</v>
      </c>
      <c r="E76" s="50"/>
      <c r="F76" s="5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1" t="s">
        <v>15</v>
      </c>
      <c r="B77" s="52">
        <v>1.24</v>
      </c>
      <c r="C77" s="52">
        <v>1.33</v>
      </c>
      <c r="D77" s="52">
        <v>1.33</v>
      </c>
      <c r="E77" s="50"/>
      <c r="F77" s="5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1" t="s">
        <v>18</v>
      </c>
      <c r="B78" s="52">
        <v>0.28999999999999998</v>
      </c>
      <c r="C78" s="52">
        <v>0.28000000000000003</v>
      </c>
      <c r="D78" s="52">
        <v>0.26</v>
      </c>
      <c r="E78" s="50"/>
      <c r="F78" s="5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51" t="s">
        <v>21</v>
      </c>
      <c r="B79" s="52">
        <v>0</v>
      </c>
      <c r="C79" s="52">
        <v>0</v>
      </c>
      <c r="D79" s="52">
        <v>0</v>
      </c>
      <c r="E79" s="50"/>
      <c r="F79" s="5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1" t="s">
        <v>24</v>
      </c>
      <c r="B80" s="52">
        <v>0</v>
      </c>
      <c r="C80" s="52">
        <v>0</v>
      </c>
      <c r="D80" s="52">
        <v>0</v>
      </c>
      <c r="E80" s="50"/>
      <c r="F80" s="5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5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5" t="s">
        <v>0</v>
      </c>
      <c r="B82" s="63" t="s">
        <v>1</v>
      </c>
      <c r="C82" s="64"/>
      <c r="D82" s="64"/>
      <c r="E82" s="63" t="s">
        <v>2</v>
      </c>
      <c r="F82" s="6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56" t="s">
        <v>46</v>
      </c>
      <c r="B83" s="47" t="s">
        <v>5</v>
      </c>
      <c r="C83" s="47" t="s">
        <v>6</v>
      </c>
      <c r="D83" s="47" t="s">
        <v>7</v>
      </c>
      <c r="E83" s="47" t="s">
        <v>8</v>
      </c>
      <c r="F83" s="47" t="s">
        <v>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8" t="s">
        <v>10</v>
      </c>
      <c r="B84" s="49">
        <v>2024</v>
      </c>
      <c r="C84" s="49">
        <v>2023</v>
      </c>
      <c r="D84" s="49">
        <v>2022</v>
      </c>
      <c r="E84" s="50"/>
      <c r="F84" s="5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1" t="s">
        <v>12</v>
      </c>
      <c r="B85" s="52">
        <v>19.010000000000002</v>
      </c>
      <c r="C85" s="52">
        <v>30.53</v>
      </c>
      <c r="D85" s="52">
        <v>26.05</v>
      </c>
      <c r="E85" s="50"/>
      <c r="F85" s="5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1" t="s">
        <v>15</v>
      </c>
      <c r="B86" s="52">
        <v>4.58</v>
      </c>
      <c r="C86" s="52">
        <v>4.7300000000000004</v>
      </c>
      <c r="D86" s="52">
        <v>5.14</v>
      </c>
      <c r="E86" s="50"/>
      <c r="F86" s="5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51" t="s">
        <v>18</v>
      </c>
      <c r="B87" s="52">
        <v>7.89</v>
      </c>
      <c r="C87" s="52">
        <v>8.18</v>
      </c>
      <c r="D87" s="52">
        <v>18.829999999999998</v>
      </c>
      <c r="E87" s="50"/>
      <c r="F87" s="5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1" t="s">
        <v>21</v>
      </c>
      <c r="B88" s="52">
        <v>819.66</v>
      </c>
      <c r="C88" s="52">
        <v>298.01</v>
      </c>
      <c r="D88" s="52">
        <v>730.48</v>
      </c>
      <c r="E88" s="50"/>
      <c r="F88" s="5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1" t="s">
        <v>24</v>
      </c>
      <c r="B89" s="52">
        <v>50.21</v>
      </c>
      <c r="C89" s="52">
        <v>141.31</v>
      </c>
      <c r="D89" s="52">
        <v>131.59</v>
      </c>
      <c r="E89" s="50"/>
      <c r="F89" s="5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5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45" t="s">
        <v>0</v>
      </c>
      <c r="B92" s="63" t="s">
        <v>1</v>
      </c>
      <c r="C92" s="64"/>
      <c r="D92" s="64"/>
      <c r="E92" s="63" t="s">
        <v>2</v>
      </c>
      <c r="F92" s="6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6" t="s">
        <v>46</v>
      </c>
      <c r="B93" s="47" t="s">
        <v>5</v>
      </c>
      <c r="C93" s="47" t="s">
        <v>6</v>
      </c>
      <c r="D93" s="47" t="s">
        <v>7</v>
      </c>
      <c r="E93" s="47" t="s">
        <v>8</v>
      </c>
      <c r="F93" s="47" t="s">
        <v>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48" t="s">
        <v>10</v>
      </c>
      <c r="B94" s="49">
        <v>2024</v>
      </c>
      <c r="C94" s="49">
        <v>2023</v>
      </c>
      <c r="D94" s="49">
        <v>2022</v>
      </c>
      <c r="E94" s="50"/>
      <c r="F94" s="5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1" t="s">
        <v>12</v>
      </c>
      <c r="B95" s="52">
        <v>19.010000000000002</v>
      </c>
      <c r="C95" s="52">
        <v>30.53</v>
      </c>
      <c r="D95" s="52">
        <v>26.05</v>
      </c>
      <c r="E95" s="50"/>
      <c r="F95" s="5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1" t="s">
        <v>15</v>
      </c>
      <c r="B96" s="52">
        <v>4.58</v>
      </c>
      <c r="C96" s="52">
        <v>4.7300000000000004</v>
      </c>
      <c r="D96" s="52">
        <v>5.14</v>
      </c>
      <c r="E96" s="50"/>
      <c r="F96" s="5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1" t="s">
        <v>18</v>
      </c>
      <c r="B97" s="52">
        <v>7.89</v>
      </c>
      <c r="C97" s="52">
        <v>8.18</v>
      </c>
      <c r="D97" s="52">
        <v>18.829999999999998</v>
      </c>
      <c r="E97" s="50"/>
      <c r="F97" s="5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1" t="s">
        <v>21</v>
      </c>
      <c r="B98" s="52">
        <v>819.66</v>
      </c>
      <c r="C98" s="52">
        <v>298.01</v>
      </c>
      <c r="D98" s="52">
        <v>730.48</v>
      </c>
      <c r="E98" s="50"/>
      <c r="F98" s="5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1" t="s">
        <v>24</v>
      </c>
      <c r="B99" s="52">
        <v>50.21</v>
      </c>
      <c r="C99" s="52">
        <v>141.31</v>
      </c>
      <c r="D99" s="52">
        <v>131.59</v>
      </c>
      <c r="E99" s="50"/>
      <c r="F99" s="5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5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45" t="s">
        <v>0</v>
      </c>
      <c r="B101" s="63" t="s">
        <v>1</v>
      </c>
      <c r="C101" s="64"/>
      <c r="D101" s="64"/>
      <c r="E101" s="63" t="s">
        <v>2</v>
      </c>
      <c r="F101" s="6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6" t="s">
        <v>47</v>
      </c>
      <c r="B102" s="47" t="s">
        <v>5</v>
      </c>
      <c r="C102" s="47" t="s">
        <v>6</v>
      </c>
      <c r="D102" s="47" t="s">
        <v>7</v>
      </c>
      <c r="E102" s="47" t="s">
        <v>8</v>
      </c>
      <c r="F102" s="47" t="s">
        <v>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8" t="s">
        <v>10</v>
      </c>
      <c r="B103" s="49">
        <v>2024</v>
      </c>
      <c r="C103" s="49">
        <v>2023</v>
      </c>
      <c r="D103" s="49">
        <v>2022</v>
      </c>
      <c r="E103" s="50"/>
      <c r="F103" s="5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1" t="s">
        <v>12</v>
      </c>
      <c r="B104" s="52">
        <v>129741</v>
      </c>
      <c r="C104" s="52">
        <v>144513</v>
      </c>
      <c r="D104" s="52">
        <v>110318</v>
      </c>
      <c r="E104" s="50"/>
      <c r="F104" s="5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1" t="s">
        <v>15</v>
      </c>
      <c r="B105" s="52">
        <v>161985</v>
      </c>
      <c r="C105" s="52">
        <v>163769</v>
      </c>
      <c r="D105" s="52">
        <v>116137</v>
      </c>
      <c r="E105" s="50"/>
      <c r="F105" s="5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1" t="s">
        <v>18</v>
      </c>
      <c r="B106" s="52">
        <v>140987</v>
      </c>
      <c r="C106" s="52">
        <v>129006</v>
      </c>
      <c r="D106" s="52">
        <v>129021</v>
      </c>
      <c r="E106" s="50"/>
      <c r="F106" s="5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1" t="s">
        <v>21</v>
      </c>
      <c r="B107" s="52">
        <v>20169</v>
      </c>
      <c r="C107" s="52">
        <v>17646</v>
      </c>
      <c r="D107" s="52">
        <v>15313</v>
      </c>
      <c r="E107" s="50"/>
      <c r="F107" s="5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1" t="s">
        <v>24</v>
      </c>
      <c r="B108" s="52">
        <v>60469</v>
      </c>
      <c r="C108" s="52">
        <v>59144</v>
      </c>
      <c r="D108" s="52">
        <v>51193</v>
      </c>
      <c r="E108" s="50"/>
      <c r="F108" s="5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5" t="s">
        <v>0</v>
      </c>
      <c r="B110" s="63" t="s">
        <v>1</v>
      </c>
      <c r="C110" s="64"/>
      <c r="D110" s="64"/>
      <c r="E110" s="63" t="s">
        <v>2</v>
      </c>
      <c r="F110" s="6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6" t="s">
        <v>48</v>
      </c>
      <c r="B111" s="47" t="s">
        <v>5</v>
      </c>
      <c r="C111" s="47" t="s">
        <v>6</v>
      </c>
      <c r="D111" s="47" t="s">
        <v>7</v>
      </c>
      <c r="E111" s="47" t="s">
        <v>8</v>
      </c>
      <c r="F111" s="47" t="s">
        <v>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48" t="s">
        <v>10</v>
      </c>
      <c r="B112" s="49">
        <v>2024</v>
      </c>
      <c r="C112" s="49">
        <v>2023</v>
      </c>
      <c r="D112" s="49">
        <v>2022</v>
      </c>
      <c r="E112" s="50"/>
      <c r="F112" s="5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1" t="s">
        <v>12</v>
      </c>
      <c r="B113" s="52">
        <v>40525</v>
      </c>
      <c r="C113" s="52">
        <v>38828</v>
      </c>
      <c r="D113" s="52">
        <v>40305</v>
      </c>
      <c r="E113" s="50"/>
      <c r="F113" s="5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1" t="s">
        <v>15</v>
      </c>
      <c r="B114" s="52">
        <v>18079</v>
      </c>
      <c r="C114" s="52">
        <v>17196</v>
      </c>
      <c r="D114" s="52">
        <v>16111</v>
      </c>
      <c r="E114" s="50"/>
      <c r="F114" s="5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1" t="s">
        <v>18</v>
      </c>
      <c r="B115" s="52">
        <v>4807</v>
      </c>
      <c r="C115" s="52">
        <v>15495</v>
      </c>
      <c r="D115" s="52">
        <v>33011</v>
      </c>
      <c r="E115" s="50"/>
      <c r="F115" s="5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1" t="s">
        <v>21</v>
      </c>
      <c r="B116" s="52">
        <v>4020</v>
      </c>
      <c r="C116" s="52">
        <v>3006</v>
      </c>
      <c r="D116" s="52">
        <v>2348</v>
      </c>
      <c r="E116" s="50"/>
      <c r="F116" s="5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1" t="s">
        <v>24</v>
      </c>
      <c r="B117" s="52">
        <v>10114</v>
      </c>
      <c r="C117" s="52">
        <v>9962</v>
      </c>
      <c r="D117" s="52">
        <v>8818</v>
      </c>
      <c r="E117" s="50"/>
      <c r="F117" s="5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5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45" t="s">
        <v>0</v>
      </c>
      <c r="B119" s="63" t="s">
        <v>1</v>
      </c>
      <c r="C119" s="64"/>
      <c r="D119" s="64"/>
      <c r="E119" s="63" t="s">
        <v>2</v>
      </c>
      <c r="F119" s="6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6" t="s">
        <v>49</v>
      </c>
      <c r="B120" s="47" t="s">
        <v>5</v>
      </c>
      <c r="C120" s="47" t="s">
        <v>6</v>
      </c>
      <c r="D120" s="47" t="s">
        <v>7</v>
      </c>
      <c r="E120" s="47" t="s">
        <v>8</v>
      </c>
      <c r="F120" s="47" t="s">
        <v>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48" t="s">
        <v>10</v>
      </c>
      <c r="B121" s="49">
        <v>2024</v>
      </c>
      <c r="C121" s="49">
        <v>2023</v>
      </c>
      <c r="D121" s="49">
        <v>2022</v>
      </c>
      <c r="E121" s="50"/>
      <c r="F121" s="5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51" t="s">
        <v>12</v>
      </c>
      <c r="B122" s="52">
        <f>B113/(3988.25+6290.14)</f>
        <v>3.9427381136539901</v>
      </c>
      <c r="C122" s="52">
        <f>C113/(3949.93+6290.14)</f>
        <v>3.7917709546907399</v>
      </c>
      <c r="D122" s="52">
        <f>D113/(6396.9+6290.14)</f>
        <v>3.1768639493530402</v>
      </c>
      <c r="E122" s="50"/>
      <c r="F122" s="5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1" t="s">
        <v>15</v>
      </c>
      <c r="B123" s="52">
        <f>B114/(146159.07+9696.67)</f>
        <v>0.115998294320119</v>
      </c>
      <c r="C123" s="52">
        <f>C114/(156315.69+9696.67)</f>
        <v>0.103582648906383</v>
      </c>
      <c r="D123" s="52">
        <f>D114/(147374.75+9696.67)</f>
        <v>0.10257117431038699</v>
      </c>
      <c r="E123" s="50"/>
      <c r="F123" s="5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51" t="s">
        <v>18</v>
      </c>
      <c r="B124" s="52">
        <f>B115/(36715.91+1248.6)</f>
        <v>0.12661825478585101</v>
      </c>
      <c r="C124" s="52">
        <f>C115/(30880.89+1222.4)</f>
        <v>0.48266081139970402</v>
      </c>
      <c r="D124" s="52">
        <f>D115/(20290.81+1222.37)</f>
        <v>1.53445469242576</v>
      </c>
      <c r="E124" s="50"/>
      <c r="F124" s="5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51" t="s">
        <v>21</v>
      </c>
      <c r="B125" s="52">
        <f t="shared" ref="B125:C125" si="0">B116/(0+730.98)</f>
        <v>5.4994664696708497</v>
      </c>
      <c r="C125" s="52">
        <f t="shared" si="0"/>
        <v>4.1122876138882001</v>
      </c>
      <c r="D125" s="52">
        <f>D116/(0+243.66)</f>
        <v>9.6363785602889305</v>
      </c>
      <c r="E125" s="50"/>
      <c r="F125" s="5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51" t="s">
        <v>24</v>
      </c>
      <c r="B126" s="52">
        <f t="shared" ref="B126:D126" si="1">B117/(0+235)</f>
        <v>43.038297872340401</v>
      </c>
      <c r="C126" s="52">
        <f t="shared" si="1"/>
        <v>42.391489361702099</v>
      </c>
      <c r="D126" s="52">
        <f t="shared" si="1"/>
        <v>37.5234042553192</v>
      </c>
      <c r="E126" s="50"/>
      <c r="F126" s="5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58" t="s">
        <v>50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65" t="s">
        <v>51</v>
      </c>
      <c r="B129" s="60"/>
      <c r="C129" s="60"/>
      <c r="D129" s="60"/>
      <c r="E129" s="60"/>
      <c r="F129" s="60"/>
      <c r="G129" s="6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4">
    <mergeCell ref="B1:D1"/>
    <mergeCell ref="E1:F1"/>
    <mergeCell ref="B10:D10"/>
    <mergeCell ref="E10:F10"/>
    <mergeCell ref="B19:D19"/>
    <mergeCell ref="E19:F19"/>
    <mergeCell ref="B28:D28"/>
    <mergeCell ref="E28:F28"/>
    <mergeCell ref="B37:D37"/>
    <mergeCell ref="E37:F37"/>
    <mergeCell ref="B46:D46"/>
    <mergeCell ref="E46:F46"/>
    <mergeCell ref="B55:D55"/>
    <mergeCell ref="E55:F55"/>
    <mergeCell ref="B64:D64"/>
    <mergeCell ref="E64:F64"/>
    <mergeCell ref="B73:D73"/>
    <mergeCell ref="E73:F73"/>
    <mergeCell ref="B82:D82"/>
    <mergeCell ref="E82:F82"/>
    <mergeCell ref="B92:D92"/>
    <mergeCell ref="E92:F92"/>
    <mergeCell ref="B101:D101"/>
    <mergeCell ref="E101:F101"/>
    <mergeCell ref="B110:D110"/>
    <mergeCell ref="E110:F110"/>
    <mergeCell ref="B119:D119"/>
    <mergeCell ref="E119:F119"/>
    <mergeCell ref="A129:G129"/>
    <mergeCell ref="I17:I20"/>
    <mergeCell ref="I23:I28"/>
    <mergeCell ref="I31:I36"/>
    <mergeCell ref="I38:I43"/>
    <mergeCell ref="I45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8"/>
  <sheetViews>
    <sheetView workbookViewId="0">
      <selection activeCell="E13" sqref="E13"/>
    </sheetView>
  </sheetViews>
  <sheetFormatPr defaultColWidth="12.6328125" defaultRowHeight="15.75" customHeight="1"/>
  <cols>
    <col min="1" max="1" width="38.08984375" style="3" customWidth="1"/>
    <col min="2" max="3" width="12.6328125" style="3"/>
    <col min="4" max="4" width="17.36328125" style="3" customWidth="1"/>
    <col min="5" max="16384" width="12.6328125" style="3"/>
  </cols>
  <sheetData>
    <row r="1" spans="1:26" ht="15.75" customHeight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66" t="s">
        <v>54</v>
      </c>
      <c r="B6" s="60"/>
      <c r="C6" s="60"/>
      <c r="D6" s="60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6" t="s">
        <v>55</v>
      </c>
      <c r="B7" s="7">
        <v>2024</v>
      </c>
      <c r="C7" s="7">
        <v>2023</v>
      </c>
      <c r="D7" s="7">
        <v>2022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 t="s">
        <v>56</v>
      </c>
      <c r="B8" s="9">
        <v>71758</v>
      </c>
      <c r="C8" s="9">
        <v>74172</v>
      </c>
      <c r="D8" s="9">
        <v>76807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0" t="s">
        <v>57</v>
      </c>
      <c r="B9" s="10">
        <v>119.44</v>
      </c>
      <c r="C9" s="10">
        <v>106.88</v>
      </c>
      <c r="D9" s="10">
        <v>103.24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0" t="s">
        <v>58</v>
      </c>
      <c r="B10" s="10">
        <v>199.23</v>
      </c>
      <c r="C10" s="10">
        <v>203.66</v>
      </c>
      <c r="D10" s="10">
        <v>210.86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0" t="s">
        <v>59</v>
      </c>
      <c r="B11" s="10" t="s">
        <v>60</v>
      </c>
      <c r="C11" s="10" t="s">
        <v>61</v>
      </c>
      <c r="D11" s="10" t="s">
        <v>62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0" t="s">
        <v>63</v>
      </c>
      <c r="B12" s="9">
        <v>209632</v>
      </c>
      <c r="C12" s="9">
        <v>195682</v>
      </c>
      <c r="D12" s="9">
        <v>167827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0" t="s">
        <v>64</v>
      </c>
      <c r="B13" s="9">
        <v>43559</v>
      </c>
      <c r="C13" s="9">
        <v>39106</v>
      </c>
      <c r="D13" s="9">
        <v>38187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0" t="s">
        <v>65</v>
      </c>
      <c r="B14" s="11">
        <v>73</v>
      </c>
      <c r="C14" s="11">
        <v>115</v>
      </c>
      <c r="D14" s="11">
        <v>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0" t="s">
        <v>66</v>
      </c>
      <c r="B15" s="10">
        <v>32.450000000000003</v>
      </c>
      <c r="C15" s="10">
        <v>30</v>
      </c>
      <c r="D15" s="10">
        <v>36.229999999999997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0" t="s">
        <v>67</v>
      </c>
      <c r="B16" s="9">
        <f>3618087518/10^7</f>
        <v>361.80875179999998</v>
      </c>
      <c r="C16" s="9">
        <f t="shared" ref="C16:D16" si="0">3659051373/10^7</f>
        <v>365.90513729999998</v>
      </c>
      <c r="D16" s="9">
        <f t="shared" si="0"/>
        <v>365.90513729999998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4" t="s">
        <v>68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66" t="s">
        <v>54</v>
      </c>
      <c r="B20" s="60"/>
      <c r="C20" s="60"/>
      <c r="D20" s="6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6" t="s">
        <v>55</v>
      </c>
      <c r="B21" s="7">
        <v>2024</v>
      </c>
      <c r="C21" s="7">
        <v>2023</v>
      </c>
      <c r="D21" s="7">
        <v>2022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8" t="s">
        <v>56</v>
      </c>
      <c r="B22" s="9">
        <v>436833.4</v>
      </c>
      <c r="C22" s="9">
        <v>279641.03000000003</v>
      </c>
      <c r="D22" s="9">
        <v>239538.38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0" t="s">
        <v>57</v>
      </c>
      <c r="B23" s="10">
        <v>85.83</v>
      </c>
      <c r="C23" s="10">
        <v>79.25</v>
      </c>
      <c r="D23" s="10">
        <v>66.8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0" t="s">
        <v>58</v>
      </c>
      <c r="B24" s="10">
        <v>579.51</v>
      </c>
      <c r="C24" s="10">
        <v>502.17</v>
      </c>
      <c r="D24" s="10">
        <v>432.95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0" t="s">
        <v>59</v>
      </c>
      <c r="B25" s="10" t="s">
        <v>69</v>
      </c>
      <c r="C25" s="10" t="s">
        <v>70</v>
      </c>
      <c r="D25" s="10" t="s">
        <v>62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0" t="s">
        <v>63</v>
      </c>
      <c r="B26" s="9">
        <v>307581.57</v>
      </c>
      <c r="C26" s="9">
        <v>192800.36</v>
      </c>
      <c r="D26" s="9">
        <v>157263.01999999999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0" t="s">
        <v>64</v>
      </c>
      <c r="B27" s="9">
        <v>60812.28</v>
      </c>
      <c r="C27" s="9">
        <v>44108.7</v>
      </c>
      <c r="D27" s="9">
        <v>36961.360000000001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0" t="s">
        <v>65</v>
      </c>
      <c r="B28" s="11">
        <v>19.5</v>
      </c>
      <c r="C28" s="11">
        <v>19</v>
      </c>
      <c r="D28" s="11">
        <v>15.5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0" t="s">
        <v>66</v>
      </c>
      <c r="B29" s="10">
        <v>16.87</v>
      </c>
      <c r="C29" s="10">
        <v>20.309999999999999</v>
      </c>
      <c r="D29" s="10">
        <v>22.01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0" t="s">
        <v>67</v>
      </c>
      <c r="B30" s="9">
        <f>7596910662/10^7</f>
        <v>759.69106620000002</v>
      </c>
      <c r="C30" s="9">
        <f>5579742786/10^7</f>
        <v>557.97427860000005</v>
      </c>
      <c r="D30" s="9">
        <f>5545540976/10^7</f>
        <v>554.55409759999998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" t="s">
        <v>71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6" t="s">
        <v>54</v>
      </c>
      <c r="B34" s="60"/>
      <c r="C34" s="60"/>
      <c r="D34" s="6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6" t="s">
        <v>55</v>
      </c>
      <c r="B35" s="7">
        <v>2024</v>
      </c>
      <c r="C35" s="7">
        <v>2023</v>
      </c>
      <c r="D35" s="7">
        <v>2022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8" t="s">
        <v>56</v>
      </c>
      <c r="B36" s="9">
        <v>3244.47</v>
      </c>
      <c r="C36" s="9">
        <v>2996.33</v>
      </c>
      <c r="D36" s="9">
        <v>2362.75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0" t="s">
        <v>57</v>
      </c>
      <c r="B37" s="10">
        <v>40.79</v>
      </c>
      <c r="C37" s="10">
        <v>31.1</v>
      </c>
      <c r="D37" s="10">
        <v>247.94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0" t="s">
        <v>58</v>
      </c>
      <c r="B38" s="10">
        <v>34.65</v>
      </c>
      <c r="C38" s="10">
        <v>320.76</v>
      </c>
      <c r="D38" s="10">
        <v>255.05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0" t="s">
        <v>59</v>
      </c>
      <c r="B39" s="10" t="s">
        <v>72</v>
      </c>
      <c r="C39" s="10" t="s">
        <v>73</v>
      </c>
      <c r="D39" s="10" t="s">
        <v>62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0" t="s">
        <v>63</v>
      </c>
      <c r="B40" s="9">
        <v>24541.85</v>
      </c>
      <c r="C40" s="9">
        <v>19247.509999999998</v>
      </c>
      <c r="D40" s="9">
        <v>16997.96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0" t="s">
        <v>64</v>
      </c>
      <c r="B41" s="9">
        <v>3932.84</v>
      </c>
      <c r="C41" s="9">
        <v>2998.67</v>
      </c>
      <c r="D41" s="9">
        <v>2390.52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0" t="s">
        <v>65</v>
      </c>
      <c r="B42" s="11">
        <v>32.200000000000003</v>
      </c>
      <c r="C42" s="11">
        <v>167</v>
      </c>
      <c r="D42" s="11">
        <v>220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0" t="s">
        <v>66</v>
      </c>
      <c r="B43" s="10">
        <v>64.290000000000006</v>
      </c>
      <c r="C43" s="10">
        <v>0</v>
      </c>
      <c r="D43" s="10"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0" t="s">
        <v>67</v>
      </c>
      <c r="B44" s="9">
        <f>964157160/10^7</f>
        <v>96.415716000000003</v>
      </c>
      <c r="C44" s="9">
        <f t="shared" ref="C44:D44" si="1">96415716/10^7</f>
        <v>9.6415716000000007</v>
      </c>
      <c r="D44" s="9">
        <f t="shared" si="1"/>
        <v>9.6415716000000007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4" t="s">
        <v>74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66" t="s">
        <v>54</v>
      </c>
      <c r="B48" s="60"/>
      <c r="C48" s="60"/>
      <c r="D48" s="6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6" t="s">
        <v>55</v>
      </c>
      <c r="B49" s="7">
        <v>2024</v>
      </c>
      <c r="C49" s="7">
        <v>2023</v>
      </c>
      <c r="D49" s="7">
        <v>2022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8" t="s">
        <v>56</v>
      </c>
      <c r="B50" s="9">
        <v>15468.1</v>
      </c>
      <c r="C50" s="9">
        <v>13380.03</v>
      </c>
      <c r="D50" s="9">
        <v>10560.24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0" t="s">
        <v>57</v>
      </c>
      <c r="B51" s="10">
        <v>6.97</v>
      </c>
      <c r="C51" s="10">
        <v>10.220000000000001</v>
      </c>
      <c r="D51" s="10">
        <v>8.61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0" t="s">
        <v>58</v>
      </c>
      <c r="B52" s="10">
        <v>49.4</v>
      </c>
      <c r="C52" s="10">
        <v>42.87</v>
      </c>
      <c r="D52" s="10">
        <v>34.049999999999997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0" t="s">
        <v>59</v>
      </c>
      <c r="B53" s="10" t="s">
        <v>75</v>
      </c>
      <c r="C53" s="10" t="s">
        <v>76</v>
      </c>
      <c r="D53" s="10" t="s">
        <v>62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0" t="s">
        <v>63</v>
      </c>
      <c r="B54" s="9">
        <v>21945.75</v>
      </c>
      <c r="C54" s="9">
        <v>21813.17</v>
      </c>
      <c r="D54" s="9">
        <v>14095.04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0" t="s">
        <v>64</v>
      </c>
      <c r="B55" s="9">
        <v>2229.86</v>
      </c>
      <c r="C55" s="9">
        <v>3267.9</v>
      </c>
      <c r="D55" s="9">
        <v>2782.93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0" t="s">
        <v>65</v>
      </c>
      <c r="B56" s="11">
        <v>2</v>
      </c>
      <c r="C56" s="11">
        <v>2</v>
      </c>
      <c r="D56" s="11">
        <v>1.75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0" t="s">
        <v>66</v>
      </c>
      <c r="B57" s="10">
        <v>56.56</v>
      </c>
      <c r="C57" s="10">
        <v>18.62</v>
      </c>
      <c r="D57" s="10">
        <v>27.72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0" t="s">
        <v>67</v>
      </c>
      <c r="B58" s="9">
        <f t="shared" ref="B58:D58" si="2">3195339547/10^7</f>
        <v>319.53395469999998</v>
      </c>
      <c r="C58" s="9">
        <f t="shared" si="2"/>
        <v>319.53395469999998</v>
      </c>
      <c r="D58" s="9">
        <f t="shared" si="2"/>
        <v>319.53395469999998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4" t="s">
        <v>77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6" t="s">
        <v>54</v>
      </c>
      <c r="B62" s="60"/>
      <c r="C62" s="60"/>
      <c r="D62" s="6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" t="s">
        <v>55</v>
      </c>
      <c r="B63" s="7">
        <v>2024</v>
      </c>
      <c r="C63" s="7">
        <v>2023</v>
      </c>
      <c r="D63" s="7">
        <v>2022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8" t="s">
        <v>56</v>
      </c>
      <c r="B64" s="9">
        <v>64015.42</v>
      </c>
      <c r="C64" s="9">
        <v>71172.23</v>
      </c>
      <c r="D64" s="9">
        <v>66743.66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0" t="s">
        <v>57</v>
      </c>
      <c r="B65" s="10">
        <v>66.95</v>
      </c>
      <c r="C65" s="10">
        <v>55.85</v>
      </c>
      <c r="D65" s="10">
        <v>56.09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0" t="s">
        <v>58</v>
      </c>
      <c r="B66" s="10">
        <v>468.6</v>
      </c>
      <c r="C66" s="10">
        <v>508.91</v>
      </c>
      <c r="D66" s="10">
        <v>477.66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0" t="s">
        <v>59</v>
      </c>
      <c r="B67" s="10" t="s">
        <v>78</v>
      </c>
      <c r="C67" s="10" t="s">
        <v>79</v>
      </c>
      <c r="D67" s="10" t="s">
        <v>62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0" t="s">
        <v>63</v>
      </c>
      <c r="B68" s="9">
        <v>131576.45000000001</v>
      </c>
      <c r="C68" s="9">
        <v>114535.93</v>
      </c>
      <c r="D68" s="9">
        <v>104613.06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0" t="s">
        <v>64</v>
      </c>
      <c r="B69" s="9">
        <v>9304.33</v>
      </c>
      <c r="C69" s="9">
        <v>7848.97</v>
      </c>
      <c r="D69" s="9">
        <v>7879.45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0" t="s">
        <v>65</v>
      </c>
      <c r="B70" s="11">
        <v>34</v>
      </c>
      <c r="C70" s="11">
        <v>24</v>
      </c>
      <c r="D70" s="11">
        <v>22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0" t="s">
        <v>66</v>
      </c>
      <c r="B71" s="10">
        <v>56.22</v>
      </c>
      <c r="C71" s="10">
        <v>38.75</v>
      </c>
      <c r="D71" s="10">
        <v>31.51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0" t="s">
        <v>67</v>
      </c>
      <c r="B72" s="9">
        <f>1374668619/10^7</f>
        <v>137.4668619</v>
      </c>
      <c r="C72" s="9">
        <f>1405482190/10^7</f>
        <v>140.54821899999999</v>
      </c>
      <c r="D72" s="9">
        <f>1045029123/10^7</f>
        <v>104.50291230000001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" t="s">
        <v>80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6" t="s">
        <v>54</v>
      </c>
      <c r="B76" s="60"/>
      <c r="C76" s="60"/>
      <c r="D76" s="6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6" t="s">
        <v>55</v>
      </c>
      <c r="B77" s="7">
        <v>2024</v>
      </c>
      <c r="C77" s="7">
        <v>2023</v>
      </c>
      <c r="D77" s="7">
        <v>2022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8" t="s">
        <v>56</v>
      </c>
      <c r="B78" s="9">
        <v>24157.4</v>
      </c>
      <c r="C78" s="9">
        <v>20390.900000000001</v>
      </c>
      <c r="D78" s="9">
        <v>18253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0" t="s">
        <v>57</v>
      </c>
      <c r="B79" s="10">
        <v>260.95</v>
      </c>
      <c r="C79" s="10">
        <v>157.37</v>
      </c>
      <c r="D79" s="10">
        <v>97.85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0" t="s">
        <v>58</v>
      </c>
      <c r="B80" s="10">
        <v>1453.29</v>
      </c>
      <c r="C80" s="10">
        <v>1228.94</v>
      </c>
      <c r="D80" s="10">
        <v>1101.94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0" t="s">
        <v>59</v>
      </c>
      <c r="B81" s="10" t="s">
        <v>81</v>
      </c>
      <c r="C81" s="10" t="s">
        <v>82</v>
      </c>
      <c r="D81" s="10" t="s">
        <v>62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0" t="s">
        <v>63</v>
      </c>
      <c r="B82" s="9">
        <v>20346.099999999999</v>
      </c>
      <c r="C82" s="9">
        <v>17553.8</v>
      </c>
      <c r="D82" s="9">
        <v>14887.2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0" t="s">
        <v>64</v>
      </c>
      <c r="B83" s="9">
        <v>4342</v>
      </c>
      <c r="C83" s="9">
        <v>2612.8000000000002</v>
      </c>
      <c r="D83" s="9">
        <v>1623.2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0" t="s">
        <v>65</v>
      </c>
      <c r="B84" s="11">
        <v>40</v>
      </c>
      <c r="C84" s="11">
        <v>40</v>
      </c>
      <c r="D84" s="11">
        <v>30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0" t="s">
        <v>66</v>
      </c>
      <c r="B85" s="10">
        <v>4.72</v>
      </c>
      <c r="C85" s="10">
        <v>5.88</v>
      </c>
      <c r="D85" s="10">
        <v>8.7799999999999994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0" t="s">
        <v>67</v>
      </c>
      <c r="B86" s="9">
        <f>166818266/10^7</f>
        <v>16.681826600000001</v>
      </c>
      <c r="C86" s="9">
        <f>166527876/10^7</f>
        <v>16.6527876</v>
      </c>
      <c r="D86" s="9">
        <f>166425849/10^7</f>
        <v>16.642584899999999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4" t="s">
        <v>83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66" t="s">
        <v>54</v>
      </c>
      <c r="B90" s="60"/>
      <c r="C90" s="60"/>
      <c r="D90" s="6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" t="s">
        <v>55</v>
      </c>
      <c r="B91" s="7">
        <v>2024</v>
      </c>
      <c r="C91" s="7">
        <v>2023</v>
      </c>
      <c r="D91" s="7">
        <v>2022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8" t="s">
        <v>56</v>
      </c>
      <c r="B92" s="9">
        <v>51378.18</v>
      </c>
      <c r="C92" s="9">
        <v>42497.35</v>
      </c>
      <c r="D92" s="9">
        <v>38139.19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0" t="s">
        <v>57</v>
      </c>
      <c r="B93" s="10">
        <v>89.42</v>
      </c>
      <c r="C93" s="10">
        <v>54.7</v>
      </c>
      <c r="D93" s="10">
        <v>41.28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0" t="s">
        <v>58</v>
      </c>
      <c r="B94" s="10">
        <v>435.95</v>
      </c>
      <c r="C94" s="10">
        <v>361.88</v>
      </c>
      <c r="D94" s="10">
        <v>325.60000000000002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0" t="s">
        <v>59</v>
      </c>
      <c r="B95" s="10" t="s">
        <v>84</v>
      </c>
      <c r="C95" s="10" t="s">
        <v>85</v>
      </c>
      <c r="D95" s="10" t="s">
        <v>62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0" t="s">
        <v>63</v>
      </c>
      <c r="B96" s="9">
        <v>102904.58</v>
      </c>
      <c r="C96" s="9">
        <v>87505.43</v>
      </c>
      <c r="D96" s="9">
        <v>59521.87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0" t="s">
        <v>64</v>
      </c>
      <c r="B97" s="9">
        <v>10717.8</v>
      </c>
      <c r="C97" s="9">
        <v>6548.64</v>
      </c>
      <c r="D97" s="9">
        <v>4935.22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0" t="s">
        <v>65</v>
      </c>
      <c r="B98" s="11">
        <v>21.1</v>
      </c>
      <c r="C98" s="11">
        <v>16.25</v>
      </c>
      <c r="D98" s="11">
        <v>11.55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0" t="s">
        <v>66</v>
      </c>
      <c r="B99" s="10">
        <v>21.49</v>
      </c>
      <c r="C99" s="10">
        <v>21.18</v>
      </c>
      <c r="D99" s="10">
        <v>19.54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0" t="s">
        <v>67</v>
      </c>
      <c r="B100" s="9">
        <f>1199246200/10^7</f>
        <v>119.92462</v>
      </c>
      <c r="C100" s="9">
        <f>1198118224/10^7</f>
        <v>119.8118224</v>
      </c>
      <c r="D100" s="9">
        <f>1196601243/10^7</f>
        <v>119.66012430000001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4" t="s">
        <v>86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66" t="s">
        <v>54</v>
      </c>
      <c r="B104" s="60"/>
      <c r="C104" s="60"/>
      <c r="D104" s="6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" t="s">
        <v>55</v>
      </c>
      <c r="B105" s="7">
        <v>2024</v>
      </c>
      <c r="C105" s="7">
        <v>2023</v>
      </c>
      <c r="D105" s="7">
        <v>2022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8" t="s">
        <v>56</v>
      </c>
      <c r="B106" s="9">
        <v>97985.3</v>
      </c>
      <c r="C106" s="9">
        <v>75639.3</v>
      </c>
      <c r="D106" s="9">
        <v>76134.8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0" t="s">
        <v>57</v>
      </c>
      <c r="B107" s="10">
        <v>8.74</v>
      </c>
      <c r="C107" s="10">
        <v>-0.16</v>
      </c>
      <c r="D107" s="10">
        <v>-6.53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0" t="s">
        <v>58</v>
      </c>
      <c r="B108" s="10">
        <v>175.31</v>
      </c>
      <c r="C108" s="10">
        <v>138.62</v>
      </c>
      <c r="D108" s="10">
        <v>141.19999999999999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0" t="s">
        <v>59</v>
      </c>
      <c r="B109" s="10" t="s">
        <v>87</v>
      </c>
      <c r="C109" s="10" t="s">
        <v>88</v>
      </c>
      <c r="D109" s="10" t="s">
        <v>62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0" t="s">
        <v>63</v>
      </c>
      <c r="B110" s="9">
        <v>95509.9</v>
      </c>
      <c r="C110" s="9">
        <v>87353.9</v>
      </c>
      <c r="D110" s="9">
        <v>72064.7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0" t="s">
        <v>64</v>
      </c>
      <c r="B111" s="9">
        <v>4988.2</v>
      </c>
      <c r="C111" s="9">
        <v>-89.6</v>
      </c>
      <c r="D111" s="9">
        <v>-3625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0" t="s">
        <v>65</v>
      </c>
      <c r="B112" s="11">
        <v>8</v>
      </c>
      <c r="C112" s="11">
        <v>4</v>
      </c>
      <c r="D112" s="11">
        <v>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0" t="s">
        <v>66</v>
      </c>
      <c r="B113" s="9">
        <v>140.57</v>
      </c>
      <c r="C113" s="9">
        <v>-4681.25</v>
      </c>
      <c r="D113" s="9">
        <v>-115.61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0" t="s">
        <v>67</v>
      </c>
      <c r="B114" s="9">
        <f t="shared" ref="B114:D114" si="3">392287662/10^7</f>
        <v>39.228766200000003</v>
      </c>
      <c r="C114" s="9">
        <f t="shared" si="3"/>
        <v>39.228766200000003</v>
      </c>
      <c r="D114" s="9">
        <f t="shared" si="3"/>
        <v>39.228766200000003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4" t="s">
        <v>89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66" t="s">
        <v>54</v>
      </c>
      <c r="B118" s="60"/>
      <c r="C118" s="60"/>
      <c r="D118" s="6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6" t="s">
        <v>55</v>
      </c>
      <c r="B119" s="7">
        <v>2024</v>
      </c>
      <c r="C119" s="7">
        <v>2023</v>
      </c>
      <c r="D119" s="7">
        <v>2022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8" t="s">
        <v>56</v>
      </c>
      <c r="B120" s="9">
        <v>18629.88</v>
      </c>
      <c r="C120" s="9">
        <v>15854.27</v>
      </c>
      <c r="D120" s="9">
        <v>13276.34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0" t="s">
        <v>57</v>
      </c>
      <c r="B121" s="10">
        <v>41.43</v>
      </c>
      <c r="C121" s="10">
        <v>39.46</v>
      </c>
      <c r="D121" s="10">
        <v>24.95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0" t="s">
        <v>58</v>
      </c>
      <c r="B122" s="10">
        <v>296.29000000000002</v>
      </c>
      <c r="C122" s="10">
        <v>254.57</v>
      </c>
      <c r="D122" s="10">
        <v>214.95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0" t="s">
        <v>59</v>
      </c>
      <c r="B123" s="10" t="s">
        <v>90</v>
      </c>
      <c r="C123" s="10" t="s">
        <v>91</v>
      </c>
      <c r="D123" s="10" t="s">
        <v>62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0" t="s">
        <v>63</v>
      </c>
      <c r="B124" s="9">
        <v>49722</v>
      </c>
      <c r="C124" s="9">
        <v>41996.34</v>
      </c>
      <c r="D124" s="9">
        <v>30493.37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0" t="s">
        <v>64</v>
      </c>
      <c r="B125" s="9">
        <v>2694.92</v>
      </c>
      <c r="C125" s="9">
        <v>2556.4</v>
      </c>
      <c r="D125" s="9">
        <v>1616.17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0" t="s">
        <v>65</v>
      </c>
      <c r="B126" s="11">
        <v>0</v>
      </c>
      <c r="C126" s="11">
        <v>0</v>
      </c>
      <c r="D126" s="11">
        <v>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0" t="s">
        <v>66</v>
      </c>
      <c r="B127" s="10">
        <v>109.23</v>
      </c>
      <c r="C127" s="10">
        <v>86.19</v>
      </c>
      <c r="D127" s="10">
        <v>160.44999999999999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0" t="s">
        <v>67</v>
      </c>
      <c r="B128" s="9">
        <f>650733068/10^7</f>
        <v>65.073306799999997</v>
      </c>
      <c r="C128" s="9">
        <f>648263978/10^7</f>
        <v>64.826397799999995</v>
      </c>
      <c r="D128" s="9">
        <f>647774691/10^7</f>
        <v>64.777469100000005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4" t="s">
        <v>92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66" t="s">
        <v>54</v>
      </c>
      <c r="B132" s="60"/>
      <c r="C132" s="60"/>
      <c r="D132" s="6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6" t="s">
        <v>55</v>
      </c>
      <c r="B133" s="7">
        <v>2024</v>
      </c>
      <c r="C133" s="7">
        <v>2023</v>
      </c>
      <c r="D133" s="7">
        <v>2022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8" t="s">
        <v>56</v>
      </c>
      <c r="B134" s="9">
        <v>13906.94</v>
      </c>
      <c r="C134" s="9">
        <v>12016.59</v>
      </c>
      <c r="D134" s="9">
        <v>10620.74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0" t="s">
        <v>57</v>
      </c>
      <c r="B135" s="10">
        <v>18.920000000000002</v>
      </c>
      <c r="C135" s="10">
        <v>17.190000000000001</v>
      </c>
      <c r="D135" s="10">
        <v>15.06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0" t="s">
        <v>58</v>
      </c>
      <c r="B136" s="10">
        <v>148.87</v>
      </c>
      <c r="C136" s="10">
        <v>130.06</v>
      </c>
      <c r="D136" s="10">
        <v>116.18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0" t="s">
        <v>59</v>
      </c>
      <c r="B137" s="10" t="s">
        <v>93</v>
      </c>
      <c r="C137" s="10" t="s">
        <v>94</v>
      </c>
      <c r="D137" s="10" t="s">
        <v>62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0" t="s">
        <v>63</v>
      </c>
      <c r="B138" s="9">
        <v>133665.47</v>
      </c>
      <c r="C138" s="9">
        <v>82393.73</v>
      </c>
      <c r="D138" s="9">
        <v>84015.61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0" t="s">
        <v>64</v>
      </c>
      <c r="B139" s="9">
        <v>1893.78</v>
      </c>
      <c r="C139" s="9">
        <v>1720.57</v>
      </c>
      <c r="D139" s="9">
        <v>1506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0" t="s">
        <v>65</v>
      </c>
      <c r="B140" s="10">
        <v>2.7</v>
      </c>
      <c r="C140" s="10">
        <v>2.5</v>
      </c>
      <c r="D140" s="10">
        <v>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0" t="s">
        <v>66</v>
      </c>
      <c r="B141" s="10">
        <v>79.290000000000006</v>
      </c>
      <c r="C141" s="10">
        <v>64.05</v>
      </c>
      <c r="D141" s="10">
        <v>74.47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0" t="s">
        <v>67</v>
      </c>
      <c r="B142" s="9">
        <f>1001465465/10^7</f>
        <v>100.1465465</v>
      </c>
      <c r="C142" s="9">
        <f>1000894759/10^7</f>
        <v>100.0894759</v>
      </c>
      <c r="D142" s="9">
        <f>1000370562/10^7</f>
        <v>100.03705619999999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</sheetData>
  <mergeCells count="10">
    <mergeCell ref="A6:D6"/>
    <mergeCell ref="A20:D20"/>
    <mergeCell ref="A34:D34"/>
    <mergeCell ref="A48:D48"/>
    <mergeCell ref="A62:D62"/>
    <mergeCell ref="A76:D76"/>
    <mergeCell ref="A90:D90"/>
    <mergeCell ref="A104:D104"/>
    <mergeCell ref="A118:D118"/>
    <mergeCell ref="A132:D13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opLeftCell="S1" workbookViewId="0">
      <selection activeCell="I3" sqref="I3:I12"/>
    </sheetView>
  </sheetViews>
  <sheetFormatPr defaultColWidth="12.6328125" defaultRowHeight="15.75" customHeight="1"/>
  <cols>
    <col min="1" max="1" width="7.36328125" style="3" customWidth="1"/>
    <col min="2" max="2" width="23.6328125" style="3" customWidth="1"/>
    <col min="3" max="3" width="4.08984375" style="3" customWidth="1"/>
    <col min="4" max="4" width="6.6328125" style="3" customWidth="1"/>
    <col min="5" max="5" width="22.6328125" style="3" customWidth="1"/>
    <col min="6" max="6" width="4.453125" style="3" customWidth="1"/>
    <col min="7" max="7" width="29.7265625" style="3" customWidth="1"/>
    <col min="8" max="12" width="12.6328125" style="3"/>
    <col min="13" max="13" width="19.6328125" style="3" customWidth="1"/>
    <col min="14" max="14" width="20.90625" style="3" customWidth="1"/>
    <col min="15" max="15" width="19.90625" style="3" customWidth="1"/>
    <col min="16" max="16" width="20" style="3" customWidth="1"/>
    <col min="17" max="17" width="21.08984375" style="3" customWidth="1"/>
    <col min="18" max="23" width="20.08984375" style="3" customWidth="1"/>
    <col min="24" max="16384" width="12.6328125" style="3"/>
  </cols>
  <sheetData>
    <row r="1" spans="1:28" ht="15.75" customHeight="1">
      <c r="A1" s="14"/>
      <c r="B1" s="14"/>
      <c r="C1" s="2"/>
      <c r="D1" s="2"/>
      <c r="E1" s="35"/>
      <c r="F1" s="2"/>
      <c r="G1" s="67" t="s">
        <v>95</v>
      </c>
      <c r="H1" s="60"/>
      <c r="I1" s="60"/>
      <c r="J1" s="60"/>
      <c r="K1" s="60"/>
      <c r="L1" s="2"/>
      <c r="M1" s="68" t="s">
        <v>96</v>
      </c>
      <c r="N1" s="69"/>
      <c r="O1" s="69"/>
      <c r="P1" s="69"/>
      <c r="Q1" s="69"/>
      <c r="R1" s="69"/>
      <c r="S1" s="69"/>
      <c r="T1" s="69"/>
      <c r="U1" s="69"/>
      <c r="V1" s="69"/>
      <c r="W1" s="70"/>
      <c r="X1" s="2"/>
      <c r="Y1" s="2"/>
      <c r="Z1" s="2"/>
      <c r="AA1" s="2"/>
      <c r="AB1" s="2"/>
    </row>
    <row r="2" spans="1:28" ht="15.75" customHeight="1">
      <c r="A2" s="14" t="s">
        <v>97</v>
      </c>
      <c r="B2" s="14" t="s">
        <v>98</v>
      </c>
      <c r="C2" s="1"/>
      <c r="D2" s="36" t="s">
        <v>97</v>
      </c>
      <c r="E2" s="36" t="s">
        <v>99</v>
      </c>
      <c r="F2" s="2"/>
      <c r="G2" s="37" t="s">
        <v>100</v>
      </c>
      <c r="H2" s="37" t="s">
        <v>101</v>
      </c>
      <c r="I2" s="37" t="s">
        <v>102</v>
      </c>
      <c r="J2" s="37" t="s">
        <v>103</v>
      </c>
      <c r="K2" s="37" t="s">
        <v>104</v>
      </c>
      <c r="M2" s="38" t="s">
        <v>105</v>
      </c>
      <c r="N2" s="38" t="s">
        <v>106</v>
      </c>
      <c r="O2" s="38" t="s">
        <v>107</v>
      </c>
      <c r="P2" s="38" t="s">
        <v>108</v>
      </c>
      <c r="Q2" s="38" t="s">
        <v>109</v>
      </c>
      <c r="R2" s="38" t="s">
        <v>110</v>
      </c>
      <c r="S2" s="38" t="s">
        <v>111</v>
      </c>
      <c r="T2" s="38" t="s">
        <v>112</v>
      </c>
      <c r="U2" s="38" t="s">
        <v>113</v>
      </c>
      <c r="V2" s="38" t="s">
        <v>114</v>
      </c>
      <c r="W2" s="38" t="s">
        <v>115</v>
      </c>
      <c r="X2" s="2"/>
      <c r="Y2" s="2"/>
      <c r="Z2" s="2"/>
      <c r="AA2" s="2"/>
      <c r="AB2" s="2"/>
    </row>
    <row r="3" spans="1:28" ht="15.75" customHeight="1">
      <c r="A3" s="1">
        <v>1</v>
      </c>
      <c r="B3" s="1" t="s">
        <v>12</v>
      </c>
      <c r="C3" s="2"/>
      <c r="D3" s="1">
        <v>1</v>
      </c>
      <c r="E3" s="1" t="s">
        <v>116</v>
      </c>
      <c r="F3" s="2"/>
      <c r="G3" s="10" t="str">
        <f t="shared" ref="G3:G12" si="0">E3</f>
        <v>TCS</v>
      </c>
      <c r="H3" s="39">
        <v>3545.65</v>
      </c>
      <c r="I3" s="39">
        <v>22</v>
      </c>
      <c r="J3" s="39">
        <f t="shared" ref="J3:J12" si="1">H3*I3</f>
        <v>78004.3</v>
      </c>
      <c r="K3" s="40">
        <f t="shared" ref="K3:K13" si="2">J3/$J$13</f>
        <v>7.8009565645681095E-2</v>
      </c>
      <c r="M3" s="41" t="s">
        <v>116</v>
      </c>
      <c r="N3" s="42">
        <v>3556.5</v>
      </c>
      <c r="O3" s="42">
        <v>3604.8</v>
      </c>
      <c r="P3" s="42">
        <v>3633.85</v>
      </c>
      <c r="Q3" s="42">
        <v>3677.8</v>
      </c>
      <c r="R3" s="42">
        <v>3630.55</v>
      </c>
      <c r="S3" s="42">
        <v>3645</v>
      </c>
      <c r="T3" s="42">
        <v>3606.75</v>
      </c>
      <c r="U3" s="42">
        <v>3556.45</v>
      </c>
      <c r="V3" s="42">
        <v>3550</v>
      </c>
      <c r="W3" s="42">
        <v>3405.25</v>
      </c>
      <c r="X3" s="2"/>
      <c r="Y3" s="2"/>
      <c r="Z3" s="2"/>
      <c r="AA3" s="2"/>
      <c r="AB3" s="2"/>
    </row>
    <row r="4" spans="1:28" ht="15.75" customHeight="1">
      <c r="A4" s="1">
        <f t="shared" ref="A4:A7" si="3">A3+1</f>
        <v>2</v>
      </c>
      <c r="B4" s="1" t="s">
        <v>15</v>
      </c>
      <c r="C4" s="2"/>
      <c r="D4" s="2">
        <f t="shared" ref="D4:D12" si="4">D3+1</f>
        <v>2</v>
      </c>
      <c r="E4" s="1" t="s">
        <v>117</v>
      </c>
      <c r="F4" s="2"/>
      <c r="G4" s="10" t="str">
        <f t="shared" si="0"/>
        <v>HDFC Bank</v>
      </c>
      <c r="H4" s="39">
        <v>1735.6</v>
      </c>
      <c r="I4" s="39">
        <v>51</v>
      </c>
      <c r="J4" s="39">
        <f t="shared" si="1"/>
        <v>88515.6</v>
      </c>
      <c r="K4" s="40">
        <f t="shared" si="2"/>
        <v>8.8521575206326406E-2</v>
      </c>
      <c r="M4" s="41" t="s">
        <v>117</v>
      </c>
      <c r="N4" s="42">
        <v>1766.6</v>
      </c>
      <c r="O4" s="42">
        <v>1764.2</v>
      </c>
      <c r="P4" s="42">
        <v>1795.6</v>
      </c>
      <c r="Q4" s="42">
        <v>1831.05</v>
      </c>
      <c r="R4" s="42">
        <v>1803</v>
      </c>
      <c r="S4" s="42">
        <v>1821.2</v>
      </c>
      <c r="T4" s="42">
        <v>1822.45</v>
      </c>
      <c r="U4" s="42">
        <v>1769.9</v>
      </c>
      <c r="V4" s="42">
        <v>1789.05</v>
      </c>
      <c r="W4" s="42">
        <v>1794.25</v>
      </c>
      <c r="X4" s="2"/>
      <c r="Y4" s="2"/>
      <c r="Z4" s="2"/>
      <c r="AA4" s="2"/>
      <c r="AB4" s="2"/>
    </row>
    <row r="5" spans="1:28" ht="15.75" customHeight="1">
      <c r="A5" s="1">
        <f t="shared" si="3"/>
        <v>3</v>
      </c>
      <c r="B5" s="1" t="s">
        <v>18</v>
      </c>
      <c r="C5" s="2"/>
      <c r="D5" s="2">
        <f t="shared" si="4"/>
        <v>3</v>
      </c>
      <c r="E5" s="1" t="s">
        <v>118</v>
      </c>
      <c r="F5" s="2"/>
      <c r="G5" s="10" t="str">
        <f t="shared" si="0"/>
        <v>Nestle India</v>
      </c>
      <c r="H5" s="10">
        <v>2200</v>
      </c>
      <c r="I5" s="10">
        <v>31</v>
      </c>
      <c r="J5" s="39">
        <f t="shared" si="1"/>
        <v>68200</v>
      </c>
      <c r="K5" s="40">
        <f t="shared" si="2"/>
        <v>6.82046038107572E-2</v>
      </c>
      <c r="L5" s="2"/>
      <c r="M5" s="41" t="s">
        <v>118</v>
      </c>
      <c r="N5" s="42">
        <v>2224.35</v>
      </c>
      <c r="O5" s="42">
        <v>2272.5</v>
      </c>
      <c r="P5" s="42">
        <v>2269.8000000000002</v>
      </c>
      <c r="Q5" s="42">
        <v>2247.65</v>
      </c>
      <c r="R5" s="42">
        <v>2240.1</v>
      </c>
      <c r="S5" s="42">
        <v>2245</v>
      </c>
      <c r="T5" s="42">
        <v>2251</v>
      </c>
      <c r="U5" s="42">
        <v>2234.9</v>
      </c>
      <c r="V5" s="42">
        <v>2200.4</v>
      </c>
      <c r="W5" s="42">
        <v>2233</v>
      </c>
      <c r="X5" s="2"/>
      <c r="Y5" s="2"/>
      <c r="Z5" s="2"/>
      <c r="AA5" s="2"/>
      <c r="AB5" s="2"/>
    </row>
    <row r="6" spans="1:28" ht="15.75" customHeight="1">
      <c r="A6" s="1">
        <f t="shared" si="3"/>
        <v>4</v>
      </c>
      <c r="B6" s="1" t="s">
        <v>21</v>
      </c>
      <c r="C6" s="2"/>
      <c r="D6" s="2">
        <f t="shared" si="4"/>
        <v>4</v>
      </c>
      <c r="E6" s="1" t="s">
        <v>119</v>
      </c>
      <c r="F6" s="2"/>
      <c r="G6" s="10" t="str">
        <f t="shared" si="0"/>
        <v>Tata Power</v>
      </c>
      <c r="H6" s="10">
        <v>363</v>
      </c>
      <c r="I6" s="10">
        <v>413</v>
      </c>
      <c r="J6" s="39">
        <f t="shared" si="1"/>
        <v>149919</v>
      </c>
      <c r="K6" s="40">
        <f t="shared" si="2"/>
        <v>0.149929120215615</v>
      </c>
      <c r="L6" s="2"/>
      <c r="M6" s="41" t="s">
        <v>119</v>
      </c>
      <c r="N6" s="42">
        <v>370.5</v>
      </c>
      <c r="O6" s="42">
        <v>377.15</v>
      </c>
      <c r="P6" s="42">
        <v>382.4</v>
      </c>
      <c r="Q6" s="42">
        <v>379.65</v>
      </c>
      <c r="R6" s="42">
        <v>375.5</v>
      </c>
      <c r="S6" s="42">
        <v>384.05</v>
      </c>
      <c r="T6" s="42">
        <v>375.7</v>
      </c>
      <c r="U6" s="42">
        <v>375</v>
      </c>
      <c r="V6" s="42">
        <v>375.25</v>
      </c>
      <c r="W6" s="42">
        <v>382.55</v>
      </c>
      <c r="X6" s="2"/>
      <c r="Y6" s="2"/>
      <c r="Z6" s="2"/>
      <c r="AA6" s="2"/>
      <c r="AB6" s="2"/>
    </row>
    <row r="7" spans="1:28" ht="15.75" customHeight="1">
      <c r="A7" s="1">
        <f t="shared" si="3"/>
        <v>5</v>
      </c>
      <c r="B7" s="1" t="s">
        <v>24</v>
      </c>
      <c r="C7" s="2"/>
      <c r="D7" s="2">
        <f t="shared" si="4"/>
        <v>5</v>
      </c>
      <c r="E7" s="1" t="s">
        <v>120</v>
      </c>
      <c r="F7" s="2"/>
      <c r="G7" s="10" t="str">
        <f t="shared" si="0"/>
        <v>Larsen &amp; Toubro</v>
      </c>
      <c r="H7" s="10">
        <v>3271</v>
      </c>
      <c r="I7" s="10">
        <v>36</v>
      </c>
      <c r="J7" s="39">
        <f t="shared" si="1"/>
        <v>117756</v>
      </c>
      <c r="K7" s="40">
        <f t="shared" si="2"/>
        <v>0.117763949066562</v>
      </c>
      <c r="L7" s="2"/>
      <c r="M7" s="41" t="s">
        <v>120</v>
      </c>
      <c r="N7" s="42">
        <v>3352.5</v>
      </c>
      <c r="O7" s="42">
        <v>3442.6</v>
      </c>
      <c r="P7" s="42">
        <v>3478.4</v>
      </c>
      <c r="Q7" s="42">
        <v>3462.6</v>
      </c>
      <c r="R7" s="42">
        <v>3451</v>
      </c>
      <c r="S7" s="42">
        <v>3510.05</v>
      </c>
      <c r="T7" s="42">
        <v>3488.15</v>
      </c>
      <c r="U7" s="42">
        <v>3438.3</v>
      </c>
      <c r="V7" s="42">
        <v>3419.2</v>
      </c>
      <c r="W7" s="42">
        <v>3442.4</v>
      </c>
      <c r="X7" s="2"/>
      <c r="Y7" s="2"/>
      <c r="Z7" s="2"/>
      <c r="AA7" s="2"/>
      <c r="AB7" s="2"/>
    </row>
    <row r="8" spans="1:28" ht="15.75" customHeight="1">
      <c r="A8" s="2"/>
      <c r="B8" s="2"/>
      <c r="C8" s="2"/>
      <c r="D8" s="2">
        <f t="shared" si="4"/>
        <v>6</v>
      </c>
      <c r="E8" s="1" t="s">
        <v>121</v>
      </c>
      <c r="F8" s="2"/>
      <c r="G8" s="10" t="str">
        <f t="shared" si="0"/>
        <v>Dr Reddy's Labs</v>
      </c>
      <c r="H8" s="10">
        <v>1163</v>
      </c>
      <c r="I8" s="10">
        <v>69</v>
      </c>
      <c r="J8" s="39">
        <f t="shared" si="1"/>
        <v>80247</v>
      </c>
      <c r="K8" s="40">
        <f t="shared" si="2"/>
        <v>8.0252417038150101E-2</v>
      </c>
      <c r="L8" s="2"/>
      <c r="M8" s="41" t="s">
        <v>121</v>
      </c>
      <c r="N8" s="42">
        <v>1186</v>
      </c>
      <c r="O8" s="42">
        <v>1198.5</v>
      </c>
      <c r="P8" s="42">
        <v>1201.2</v>
      </c>
      <c r="Q8" s="42">
        <v>1180.45</v>
      </c>
      <c r="R8" s="42">
        <v>1161.4000000000001</v>
      </c>
      <c r="S8" s="42">
        <v>1161.4000000000001</v>
      </c>
      <c r="T8" s="42">
        <v>1150.75</v>
      </c>
      <c r="U8" s="42">
        <v>1150</v>
      </c>
      <c r="V8" s="42">
        <v>1139.8</v>
      </c>
      <c r="W8" s="42">
        <v>1159.75</v>
      </c>
      <c r="X8" s="2"/>
      <c r="Y8" s="2"/>
      <c r="Z8" s="2"/>
      <c r="AA8" s="2"/>
      <c r="AB8" s="2"/>
    </row>
    <row r="9" spans="1:28" ht="15.75" customHeight="1">
      <c r="A9" s="2"/>
      <c r="B9" s="2"/>
      <c r="C9" s="2"/>
      <c r="D9" s="2">
        <f t="shared" si="4"/>
        <v>7</v>
      </c>
      <c r="E9" s="1" t="s">
        <v>122</v>
      </c>
      <c r="F9" s="2"/>
      <c r="G9" s="10" t="str">
        <f t="shared" si="0"/>
        <v>Mahindra &amp; Mahindra</v>
      </c>
      <c r="H9" s="10">
        <v>2785</v>
      </c>
      <c r="I9" s="10">
        <v>53</v>
      </c>
      <c r="J9" s="39">
        <f t="shared" si="1"/>
        <v>147605</v>
      </c>
      <c r="K9" s="40">
        <f t="shared" si="2"/>
        <v>0.14761496401007099</v>
      </c>
      <c r="L9" s="2"/>
      <c r="M9" s="41" t="s">
        <v>122</v>
      </c>
      <c r="N9" s="42">
        <v>2838</v>
      </c>
      <c r="O9" s="42">
        <v>2871.65</v>
      </c>
      <c r="P9" s="42">
        <v>2766</v>
      </c>
      <c r="Q9" s="42">
        <v>2743.75</v>
      </c>
      <c r="R9" s="42">
        <v>2742.05</v>
      </c>
      <c r="S9" s="42">
        <v>2734</v>
      </c>
      <c r="T9" s="42">
        <v>2664.35</v>
      </c>
      <c r="U9" s="42">
        <v>2640</v>
      </c>
      <c r="V9" s="42">
        <v>2637.6</v>
      </c>
      <c r="W9" s="42">
        <v>2624.5</v>
      </c>
      <c r="X9" s="2"/>
      <c r="Y9" s="2"/>
      <c r="Z9" s="2"/>
      <c r="AA9" s="2"/>
      <c r="AB9" s="2"/>
    </row>
    <row r="10" spans="1:28" ht="15.75" customHeight="1">
      <c r="A10" s="2"/>
      <c r="B10" s="2"/>
      <c r="C10" s="2"/>
      <c r="D10" s="2">
        <f t="shared" si="4"/>
        <v>8</v>
      </c>
      <c r="E10" s="1" t="s">
        <v>123</v>
      </c>
      <c r="F10" s="2"/>
      <c r="G10" s="10" t="str">
        <f t="shared" si="0"/>
        <v>Bharti Airtel</v>
      </c>
      <c r="H10" s="10">
        <v>1632</v>
      </c>
      <c r="I10" s="10">
        <v>31</v>
      </c>
      <c r="J10" s="39">
        <f t="shared" si="1"/>
        <v>50592</v>
      </c>
      <c r="K10" s="40">
        <f t="shared" si="2"/>
        <v>5.0595415190525399E-2</v>
      </c>
      <c r="L10" s="2"/>
      <c r="M10" s="41" t="s">
        <v>123</v>
      </c>
      <c r="N10" s="42">
        <v>1704</v>
      </c>
      <c r="O10" s="42">
        <v>1712.55</v>
      </c>
      <c r="P10" s="42">
        <v>1724.3</v>
      </c>
      <c r="Q10" s="42">
        <v>1736.65</v>
      </c>
      <c r="R10" s="42">
        <v>1733.1</v>
      </c>
      <c r="S10" s="42">
        <v>1726</v>
      </c>
      <c r="T10" s="42">
        <v>1731.75</v>
      </c>
      <c r="U10" s="42">
        <v>1720</v>
      </c>
      <c r="V10" s="42">
        <v>1743.4</v>
      </c>
      <c r="W10" s="42">
        <v>1750.6</v>
      </c>
      <c r="X10" s="2"/>
      <c r="Y10" s="2"/>
      <c r="Z10" s="2"/>
      <c r="AA10" s="2"/>
      <c r="AB10" s="2"/>
    </row>
    <row r="11" spans="1:28" ht="15.75" customHeight="1">
      <c r="A11" s="2"/>
      <c r="B11" s="2"/>
      <c r="C11" s="2"/>
      <c r="D11" s="2">
        <f t="shared" si="4"/>
        <v>9</v>
      </c>
      <c r="E11" s="1" t="s">
        <v>124</v>
      </c>
      <c r="F11" s="2"/>
      <c r="G11" s="10" t="str">
        <f t="shared" si="0"/>
        <v>Avenue Supermarts</v>
      </c>
      <c r="H11" s="10">
        <v>3829</v>
      </c>
      <c r="I11" s="10">
        <v>26</v>
      </c>
      <c r="J11" s="39">
        <f t="shared" si="1"/>
        <v>99554</v>
      </c>
      <c r="K11" s="40">
        <f t="shared" si="2"/>
        <v>9.9560720348623497E-2</v>
      </c>
      <c r="L11" s="2"/>
      <c r="M11" s="41" t="s">
        <v>124</v>
      </c>
      <c r="N11" s="42">
        <v>3874.15</v>
      </c>
      <c r="O11" s="42">
        <v>3933.2</v>
      </c>
      <c r="P11" s="42">
        <v>3931.65</v>
      </c>
      <c r="Q11" s="42">
        <v>4009.9</v>
      </c>
      <c r="R11" s="42">
        <v>3936</v>
      </c>
      <c r="S11" s="42">
        <v>4070</v>
      </c>
      <c r="T11" s="42">
        <v>4071.45</v>
      </c>
      <c r="U11" s="42">
        <v>4016</v>
      </c>
      <c r="V11" s="42">
        <v>4066.15</v>
      </c>
      <c r="W11" s="42">
        <v>4144.1000000000004</v>
      </c>
      <c r="X11" s="2"/>
      <c r="Y11" s="2"/>
      <c r="Z11" s="2"/>
      <c r="AA11" s="2"/>
      <c r="AB11" s="2"/>
    </row>
    <row r="12" spans="1:28" ht="15.75" customHeight="1">
      <c r="A12" s="2"/>
      <c r="B12" s="2"/>
      <c r="C12" s="2"/>
      <c r="D12" s="2">
        <f t="shared" si="4"/>
        <v>10</v>
      </c>
      <c r="E12" s="1" t="s">
        <v>125</v>
      </c>
      <c r="F12" s="2"/>
      <c r="G12" s="10" t="str">
        <f t="shared" si="0"/>
        <v>SBI Life Insurance</v>
      </c>
      <c r="H12" s="10">
        <v>1457.8</v>
      </c>
      <c r="I12" s="10">
        <v>82</v>
      </c>
      <c r="J12" s="39">
        <f t="shared" si="1"/>
        <v>119539.6</v>
      </c>
      <c r="K12" s="40">
        <f t="shared" si="2"/>
        <v>0.11954766946768899</v>
      </c>
      <c r="L12" s="2"/>
      <c r="M12" s="41" t="s">
        <v>125</v>
      </c>
      <c r="N12" s="42">
        <v>1500.6</v>
      </c>
      <c r="O12" s="42">
        <v>1539.5</v>
      </c>
      <c r="P12" s="42">
        <v>1566</v>
      </c>
      <c r="Q12" s="42">
        <v>1560</v>
      </c>
      <c r="R12" s="42">
        <v>1545</v>
      </c>
      <c r="S12" s="42">
        <v>1550</v>
      </c>
      <c r="T12" s="42">
        <v>1549.3</v>
      </c>
      <c r="U12" s="42">
        <v>1542.3</v>
      </c>
      <c r="V12" s="42">
        <v>1554.3</v>
      </c>
      <c r="W12" s="42">
        <v>1549.85</v>
      </c>
      <c r="X12" s="2"/>
      <c r="Y12" s="2"/>
      <c r="Z12" s="2"/>
      <c r="AA12" s="2"/>
      <c r="AB12" s="2"/>
    </row>
    <row r="13" spans="1:28" ht="15.75" customHeight="1">
      <c r="A13" s="2"/>
      <c r="B13" s="2"/>
      <c r="C13" s="2"/>
      <c r="D13" s="2"/>
      <c r="E13" s="2"/>
      <c r="F13" s="2"/>
      <c r="G13" s="71" t="s">
        <v>126</v>
      </c>
      <c r="H13" s="64"/>
      <c r="I13" s="72"/>
      <c r="J13" s="43">
        <f>SUM(J3:J12)</f>
        <v>999932.5</v>
      </c>
      <c r="K13" s="44">
        <f t="shared" si="2"/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2"/>
      <c r="B15" s="2"/>
      <c r="C15" s="2"/>
      <c r="D15" s="2"/>
      <c r="E15" s="2"/>
      <c r="F15" s="2"/>
      <c r="G15" s="14" t="s">
        <v>127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3">
    <mergeCell ref="G1:K1"/>
    <mergeCell ref="M1:W1"/>
    <mergeCell ref="G13:I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DB79-004C-42AD-B766-E94156579A28}">
  <dimension ref="A1:N26"/>
  <sheetViews>
    <sheetView tabSelected="1" zoomScale="65" zoomScaleNormal="84" workbookViewId="0">
      <selection activeCell="K17" sqref="K17:K18"/>
    </sheetView>
  </sheetViews>
  <sheetFormatPr defaultRowHeight="12.5"/>
  <cols>
    <col min="1" max="1" width="18.08984375" bestFit="1" customWidth="1"/>
    <col min="2" max="2" width="14.08984375" bestFit="1" customWidth="1"/>
    <col min="3" max="3" width="4.08984375" bestFit="1" customWidth="1"/>
    <col min="4" max="4" width="29.81640625" bestFit="1" customWidth="1"/>
    <col min="5" max="5" width="22.54296875" bestFit="1" customWidth="1"/>
    <col min="6" max="6" width="20.26953125" bestFit="1" customWidth="1"/>
    <col min="7" max="7" width="22.453125" bestFit="1" customWidth="1"/>
    <col min="8" max="8" width="21.453125" bestFit="1" customWidth="1"/>
    <col min="9" max="9" width="22.36328125" bestFit="1" customWidth="1"/>
    <col min="10" max="10" width="21.1796875" bestFit="1" customWidth="1"/>
    <col min="11" max="12" width="16.81640625" customWidth="1"/>
    <col min="13" max="13" width="20.6328125" customWidth="1"/>
    <col min="14" max="15" width="16.81640625" customWidth="1"/>
  </cols>
  <sheetData>
    <row r="1" spans="1:14" ht="14.5">
      <c r="A1" s="94" t="s">
        <v>173</v>
      </c>
      <c r="B1" s="94" t="s">
        <v>171</v>
      </c>
      <c r="C1" s="95" t="s">
        <v>102</v>
      </c>
      <c r="D1" s="96" t="s">
        <v>172</v>
      </c>
      <c r="E1" s="97" t="s">
        <v>180</v>
      </c>
      <c r="F1" s="97" t="s">
        <v>182</v>
      </c>
      <c r="G1" s="97" t="s">
        <v>181</v>
      </c>
      <c r="H1" s="97" t="s">
        <v>183</v>
      </c>
      <c r="I1" s="97" t="s">
        <v>184</v>
      </c>
      <c r="J1" s="97" t="s">
        <v>185</v>
      </c>
    </row>
    <row r="2" spans="1:14" ht="13">
      <c r="A2" s="81" t="s">
        <v>116</v>
      </c>
      <c r="B2" s="85">
        <v>3545.65</v>
      </c>
      <c r="C2" s="82">
        <v>22</v>
      </c>
      <c r="D2" s="80">
        <f>B2*C2</f>
        <v>78004.3</v>
      </c>
      <c r="E2" s="85">
        <v>3298.9</v>
      </c>
      <c r="F2" s="80">
        <f>C2*E2</f>
        <v>72575.8</v>
      </c>
      <c r="G2" s="85">
        <v>3435.7</v>
      </c>
      <c r="H2" s="80">
        <f>G2*C2</f>
        <v>75585.399999999994</v>
      </c>
      <c r="I2" s="85">
        <v>3169.2</v>
      </c>
      <c r="J2" s="80">
        <f>I2*C2</f>
        <v>69722.399999999994</v>
      </c>
    </row>
    <row r="3" spans="1:14" ht="13">
      <c r="A3" s="81" t="s">
        <v>117</v>
      </c>
      <c r="B3" s="85">
        <v>1735.6</v>
      </c>
      <c r="C3" s="82">
        <v>51</v>
      </c>
      <c r="D3" s="80">
        <f t="shared" ref="D3:D11" si="0">B3*C3</f>
        <v>88515.599999999991</v>
      </c>
      <c r="E3" s="85">
        <v>1906.7</v>
      </c>
      <c r="F3" s="80">
        <f t="shared" ref="F3:F11" si="1">C3*E3</f>
        <v>97241.7</v>
      </c>
      <c r="G3" s="85">
        <v>1964.7</v>
      </c>
      <c r="H3" s="80">
        <f t="shared" ref="H3:H11" si="2">G3*C3</f>
        <v>100199.7</v>
      </c>
      <c r="I3" s="85">
        <v>966.9</v>
      </c>
      <c r="J3" s="80">
        <f>I3*C3*2</f>
        <v>98623.8</v>
      </c>
      <c r="K3" s="99" t="s">
        <v>175</v>
      </c>
      <c r="L3" s="86"/>
      <c r="M3" s="86"/>
    </row>
    <row r="4" spans="1:14" ht="13">
      <c r="A4" s="81" t="s">
        <v>118</v>
      </c>
      <c r="B4" s="87">
        <v>2200</v>
      </c>
      <c r="C4" s="83">
        <v>31</v>
      </c>
      <c r="D4" s="80">
        <f t="shared" si="0"/>
        <v>68200</v>
      </c>
      <c r="E4" s="85">
        <v>2416.6</v>
      </c>
      <c r="F4" s="80">
        <f t="shared" si="1"/>
        <v>74914.599999999991</v>
      </c>
      <c r="G4" s="85">
        <v>2360.4</v>
      </c>
      <c r="H4" s="80">
        <f t="shared" si="2"/>
        <v>73172.400000000009</v>
      </c>
      <c r="I4" s="85">
        <v>1194.5</v>
      </c>
      <c r="J4" s="80">
        <f>I4*C4*2</f>
        <v>74059</v>
      </c>
      <c r="K4" s="100" t="s">
        <v>176</v>
      </c>
      <c r="L4" s="86"/>
      <c r="M4" s="86"/>
      <c r="N4" s="86"/>
    </row>
    <row r="5" spans="1:14" ht="13">
      <c r="A5" s="81" t="s">
        <v>119</v>
      </c>
      <c r="B5" s="87">
        <v>363</v>
      </c>
      <c r="C5" s="83">
        <v>413</v>
      </c>
      <c r="D5" s="80">
        <f t="shared" si="0"/>
        <v>149919</v>
      </c>
      <c r="E5" s="85">
        <v>381.7</v>
      </c>
      <c r="F5" s="80">
        <f t="shared" si="1"/>
        <v>157642.1</v>
      </c>
      <c r="G5" s="85">
        <v>390.1</v>
      </c>
      <c r="H5" s="80">
        <f t="shared" si="2"/>
        <v>161111.30000000002</v>
      </c>
      <c r="I5" s="85">
        <v>396.3</v>
      </c>
      <c r="J5" s="80">
        <f t="shared" ref="J5:J11" si="3">I5*C5</f>
        <v>163671.9</v>
      </c>
    </row>
    <row r="6" spans="1:14" ht="13">
      <c r="A6" s="81" t="s">
        <v>120</v>
      </c>
      <c r="B6" s="87">
        <v>3271</v>
      </c>
      <c r="C6" s="83">
        <v>36</v>
      </c>
      <c r="D6" s="80">
        <f t="shared" si="0"/>
        <v>117756</v>
      </c>
      <c r="E6" s="85">
        <v>3247.3</v>
      </c>
      <c r="F6" s="80">
        <f t="shared" si="1"/>
        <v>116902.8</v>
      </c>
      <c r="G6" s="85">
        <v>3662</v>
      </c>
      <c r="H6" s="80">
        <f t="shared" si="2"/>
        <v>131832</v>
      </c>
      <c r="I6" s="85">
        <v>3675.4</v>
      </c>
      <c r="J6" s="80">
        <f t="shared" si="3"/>
        <v>132314.4</v>
      </c>
    </row>
    <row r="7" spans="1:14" ht="13">
      <c r="A7" s="81" t="s">
        <v>121</v>
      </c>
      <c r="B7" s="87">
        <v>1163</v>
      </c>
      <c r="C7" s="83">
        <v>69</v>
      </c>
      <c r="D7" s="80">
        <f t="shared" si="0"/>
        <v>80247</v>
      </c>
      <c r="E7" s="85">
        <v>1163.5999999999999</v>
      </c>
      <c r="F7" s="80">
        <f t="shared" si="1"/>
        <v>80288.399999999994</v>
      </c>
      <c r="G7" s="85">
        <v>1325.3</v>
      </c>
      <c r="H7" s="80">
        <f t="shared" si="2"/>
        <v>91445.7</v>
      </c>
      <c r="I7" s="85">
        <v>1321.7</v>
      </c>
      <c r="J7" s="80">
        <f t="shared" si="3"/>
        <v>91197.3</v>
      </c>
    </row>
    <row r="8" spans="1:14" ht="13">
      <c r="A8" s="81" t="s">
        <v>122</v>
      </c>
      <c r="B8" s="87">
        <v>2785</v>
      </c>
      <c r="C8" s="83">
        <v>53</v>
      </c>
      <c r="D8" s="80">
        <f t="shared" si="0"/>
        <v>147605</v>
      </c>
      <c r="E8" s="85">
        <v>2679.4</v>
      </c>
      <c r="F8" s="80">
        <f t="shared" si="1"/>
        <v>142008.20000000001</v>
      </c>
      <c r="G8" s="85">
        <v>3184.4</v>
      </c>
      <c r="H8" s="80">
        <f t="shared" si="2"/>
        <v>168773.2</v>
      </c>
      <c r="I8" s="85">
        <v>3592.1</v>
      </c>
      <c r="J8" s="80">
        <f t="shared" si="3"/>
        <v>190381.3</v>
      </c>
    </row>
    <row r="9" spans="1:14" ht="13">
      <c r="A9" s="81" t="s">
        <v>123</v>
      </c>
      <c r="B9" s="87">
        <v>1632</v>
      </c>
      <c r="C9" s="83">
        <v>31</v>
      </c>
      <c r="D9" s="80">
        <f t="shared" si="0"/>
        <v>50592</v>
      </c>
      <c r="E9" s="85">
        <v>1889.1</v>
      </c>
      <c r="F9" s="80">
        <f t="shared" si="1"/>
        <v>58562.1</v>
      </c>
      <c r="G9" s="85">
        <v>1936.7</v>
      </c>
      <c r="H9" s="80">
        <f t="shared" si="2"/>
        <v>60037.700000000004</v>
      </c>
      <c r="I9" s="85">
        <v>1962.4</v>
      </c>
      <c r="J9" s="80">
        <f t="shared" si="3"/>
        <v>60834.400000000001</v>
      </c>
    </row>
    <row r="10" spans="1:14" ht="13">
      <c r="A10" s="81" t="s">
        <v>124</v>
      </c>
      <c r="B10" s="87">
        <v>3829</v>
      </c>
      <c r="C10" s="83">
        <v>26</v>
      </c>
      <c r="D10" s="80">
        <f t="shared" si="0"/>
        <v>99554</v>
      </c>
      <c r="E10" s="85">
        <v>4357.1000000000004</v>
      </c>
      <c r="F10" s="80">
        <f t="shared" si="1"/>
        <v>113284.6</v>
      </c>
      <c r="G10" s="85">
        <v>4300.3</v>
      </c>
      <c r="H10" s="80">
        <f t="shared" si="2"/>
        <v>111807.8</v>
      </c>
      <c r="I10" s="85">
        <v>4775.3</v>
      </c>
      <c r="J10" s="80">
        <f t="shared" si="3"/>
        <v>124157.8</v>
      </c>
    </row>
    <row r="11" spans="1:14" ht="13">
      <c r="A11" s="81" t="s">
        <v>125</v>
      </c>
      <c r="B11" s="87">
        <v>1457.8</v>
      </c>
      <c r="C11" s="83">
        <v>82</v>
      </c>
      <c r="D11" s="80">
        <f t="shared" si="0"/>
        <v>119539.59999999999</v>
      </c>
      <c r="E11" s="85">
        <v>1608.2</v>
      </c>
      <c r="F11" s="80">
        <f t="shared" si="1"/>
        <v>131872.4</v>
      </c>
      <c r="G11" s="85">
        <v>1810.9</v>
      </c>
      <c r="H11" s="80">
        <f t="shared" si="2"/>
        <v>148493.80000000002</v>
      </c>
      <c r="I11" s="85">
        <v>1841.7</v>
      </c>
      <c r="J11" s="80">
        <f t="shared" si="3"/>
        <v>151019.4</v>
      </c>
    </row>
    <row r="12" spans="1:14" ht="13">
      <c r="A12" s="92"/>
      <c r="B12" s="93"/>
      <c r="C12" s="92">
        <f>SUM(C2:C11)</f>
        <v>814</v>
      </c>
      <c r="D12" s="88">
        <f>SUM(D2:D11)</f>
        <v>999932.5</v>
      </c>
      <c r="E12" s="88"/>
      <c r="F12" s="88">
        <f>SUM(F2:F11)</f>
        <v>1045292.6999999998</v>
      </c>
      <c r="G12" s="88"/>
      <c r="H12" s="88">
        <f>SUM(H2:H11)</f>
        <v>1122459</v>
      </c>
      <c r="I12" s="88"/>
      <c r="J12" s="88">
        <f>SUM(J2:J11)</f>
        <v>1155981.7000000002</v>
      </c>
    </row>
    <row r="13" spans="1:14" ht="13">
      <c r="A13" s="79"/>
      <c r="B13" s="84"/>
      <c r="C13" s="79"/>
      <c r="D13" s="80"/>
      <c r="E13" s="80"/>
      <c r="F13" s="80"/>
      <c r="G13" s="80"/>
      <c r="H13" s="80"/>
      <c r="I13" s="80"/>
      <c r="J13" s="80"/>
    </row>
    <row r="14" spans="1:14" ht="15.5">
      <c r="A14" s="79"/>
      <c r="B14" s="84"/>
      <c r="C14" s="79"/>
      <c r="D14" s="80"/>
      <c r="E14" s="89" t="s">
        <v>177</v>
      </c>
      <c r="F14" s="90">
        <f>(F12-D12)/D12</f>
        <v>4.5363262020186201E-2</v>
      </c>
      <c r="G14" s="91"/>
      <c r="H14" s="90">
        <f>(H12-D12)/D12</f>
        <v>0.12253477109704905</v>
      </c>
      <c r="I14" s="91"/>
      <c r="J14" s="90">
        <f>(J12-D12)/D12</f>
        <v>0.15605973403204734</v>
      </c>
    </row>
    <row r="17" spans="1:11">
      <c r="K17" s="77"/>
    </row>
    <row r="18" spans="1:11" ht="15.5">
      <c r="A18" s="98" t="s">
        <v>178</v>
      </c>
      <c r="B18" s="98" t="s">
        <v>179</v>
      </c>
      <c r="C18" s="79"/>
      <c r="D18" s="80"/>
      <c r="E18" s="89" t="s">
        <v>177</v>
      </c>
      <c r="F18" s="90">
        <f>(E19-B19)/B19</f>
        <v>6.3614259023206277E-2</v>
      </c>
      <c r="G18" s="79"/>
      <c r="H18" s="90">
        <f>(G19-B19)/B19</f>
        <v>9.6247533569645147E-2</v>
      </c>
      <c r="I18" s="80"/>
      <c r="J18" s="90">
        <f>(I19-B19)/B19</f>
        <v>0.10561778623688212</v>
      </c>
      <c r="K18" s="77"/>
    </row>
    <row r="19" spans="1:11" ht="13">
      <c r="A19" s="81" t="s">
        <v>170</v>
      </c>
      <c r="B19" s="84">
        <v>22907.599999999999</v>
      </c>
      <c r="C19" s="79"/>
      <c r="D19" s="85">
        <v>1000000</v>
      </c>
      <c r="E19" s="85">
        <v>24364.85</v>
      </c>
      <c r="F19" s="85">
        <f>D19*F18+1000000</f>
        <v>1063614.2590232063</v>
      </c>
      <c r="G19" s="85">
        <v>25112.400000000001</v>
      </c>
      <c r="H19" s="85">
        <f>D19*H18+1000000</f>
        <v>1096247.5335696451</v>
      </c>
      <c r="I19" s="85">
        <v>25327.05</v>
      </c>
      <c r="J19" s="85">
        <f>J18*D19+1000000</f>
        <v>1105617.7862368822</v>
      </c>
    </row>
    <row r="20" spans="1:11" ht="13">
      <c r="A20" s="81" t="s">
        <v>174</v>
      </c>
      <c r="B20" s="84">
        <v>75449.05</v>
      </c>
      <c r="C20" s="79"/>
      <c r="D20" s="85">
        <v>1000000</v>
      </c>
      <c r="E20" s="85">
        <v>79408.5</v>
      </c>
      <c r="F20" s="85">
        <f>D20*F21+1000000</f>
        <v>1052478.4606300544</v>
      </c>
      <c r="G20" s="85">
        <v>82408.17</v>
      </c>
      <c r="H20" s="85">
        <f>H21*D20+1000000</f>
        <v>1092236.0188763144</v>
      </c>
      <c r="I20" s="85">
        <v>82626.23</v>
      </c>
      <c r="J20" s="85">
        <f>J21*D20+1000000</f>
        <v>1095126.1811778941</v>
      </c>
    </row>
    <row r="21" spans="1:11" ht="15.5">
      <c r="A21" s="79"/>
      <c r="B21" s="84"/>
      <c r="C21" s="79"/>
      <c r="D21" s="80"/>
      <c r="E21" s="89" t="s">
        <v>177</v>
      </c>
      <c r="F21" s="90">
        <f>(E20-$B$20)/$B$20</f>
        <v>5.2478460630054284E-2</v>
      </c>
      <c r="G21" s="79"/>
      <c r="H21" s="90">
        <f>(G20-$B$20)/$B$20</f>
        <v>9.2236018876314482E-2</v>
      </c>
      <c r="I21" s="80"/>
      <c r="J21" s="90">
        <f>(I20-$B$20)/$B$20</f>
        <v>9.512618117789412E-2</v>
      </c>
    </row>
    <row r="22" spans="1:11">
      <c r="B22" s="78"/>
    </row>
    <row r="23" spans="1:11">
      <c r="B23" s="78"/>
    </row>
    <row r="24" spans="1:11">
      <c r="B24" s="78"/>
    </row>
    <row r="25" spans="1:11">
      <c r="B25" s="78"/>
    </row>
    <row r="26" spans="1:11">
      <c r="B26" s="7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9"/>
  <sheetViews>
    <sheetView workbookViewId="0">
      <selection sqref="A1:XFD1048576"/>
    </sheetView>
  </sheetViews>
  <sheetFormatPr defaultColWidth="12.6328125" defaultRowHeight="15.75" customHeight="1"/>
  <cols>
    <col min="1" max="1" width="18" style="3" customWidth="1"/>
    <col min="2" max="16384" width="12.6328125" style="3"/>
  </cols>
  <sheetData>
    <row r="1" spans="1:13" ht="15.75" customHeight="1">
      <c r="A1" s="26" t="s">
        <v>128</v>
      </c>
      <c r="B1" s="27" t="s">
        <v>129</v>
      </c>
      <c r="C1" s="27" t="s">
        <v>130</v>
      </c>
      <c r="D1" s="27" t="s">
        <v>131</v>
      </c>
      <c r="E1" s="27" t="s">
        <v>132</v>
      </c>
      <c r="F1" s="27" t="s">
        <v>133</v>
      </c>
      <c r="G1" s="27" t="s">
        <v>134</v>
      </c>
      <c r="H1" s="27" t="s">
        <v>57</v>
      </c>
      <c r="I1" s="27" t="s">
        <v>58</v>
      </c>
      <c r="J1" s="27" t="s">
        <v>135</v>
      </c>
      <c r="K1" s="27" t="s">
        <v>136</v>
      </c>
      <c r="L1" s="28" t="s">
        <v>137</v>
      </c>
      <c r="M1" s="29" t="s">
        <v>138</v>
      </c>
    </row>
    <row r="2" spans="1:13" ht="15.75" customHeight="1">
      <c r="A2" s="30" t="s">
        <v>12</v>
      </c>
      <c r="B2" s="31">
        <v>4.45</v>
      </c>
      <c r="C2" s="31">
        <v>0.44</v>
      </c>
      <c r="D2" s="31">
        <v>9.26</v>
      </c>
      <c r="E2" s="32">
        <v>95106.91</v>
      </c>
      <c r="F2" s="30" t="s">
        <v>139</v>
      </c>
      <c r="G2" s="31" t="s">
        <v>140</v>
      </c>
      <c r="H2" s="31">
        <v>16.190000000000001</v>
      </c>
      <c r="I2" s="31">
        <v>161.36000000000001</v>
      </c>
      <c r="J2" s="31">
        <v>178.95</v>
      </c>
      <c r="K2" s="31">
        <v>51.8</v>
      </c>
      <c r="L2" s="31">
        <v>1.0900000000000001</v>
      </c>
      <c r="M2" s="33">
        <v>215036</v>
      </c>
    </row>
    <row r="3" spans="1:13" ht="15.75" customHeight="1">
      <c r="A3" s="30" t="s">
        <v>15</v>
      </c>
      <c r="B3" s="31">
        <v>6.28</v>
      </c>
      <c r="C3" s="31">
        <v>0.81</v>
      </c>
      <c r="D3" s="31">
        <v>6.06</v>
      </c>
      <c r="E3" s="32">
        <v>89496.27</v>
      </c>
      <c r="F3" s="30" t="s">
        <v>141</v>
      </c>
      <c r="G3" s="32">
        <v>97513.61</v>
      </c>
      <c r="H3" s="31">
        <v>13.35</v>
      </c>
      <c r="I3" s="31">
        <v>108.55</v>
      </c>
      <c r="J3" s="31">
        <v>145.85</v>
      </c>
      <c r="K3" s="31">
        <v>74</v>
      </c>
      <c r="L3" s="31">
        <v>0.63</v>
      </c>
      <c r="M3" s="33">
        <v>490220</v>
      </c>
    </row>
    <row r="4" spans="1:13" ht="15.75" customHeight="1">
      <c r="A4" s="30" t="s">
        <v>18</v>
      </c>
      <c r="B4" s="31">
        <v>5.05</v>
      </c>
      <c r="C4" s="31">
        <v>0.45</v>
      </c>
      <c r="D4" s="31">
        <v>4.71</v>
      </c>
      <c r="E4" s="32">
        <v>31315.68</v>
      </c>
      <c r="F4" s="30" t="s">
        <v>142</v>
      </c>
      <c r="G4" s="32">
        <v>69308.59</v>
      </c>
      <c r="H4" s="31">
        <v>85.86</v>
      </c>
      <c r="I4" s="31">
        <v>625.26</v>
      </c>
      <c r="J4" s="31">
        <v>526.79999999999995</v>
      </c>
      <c r="K4" s="31">
        <v>250.9</v>
      </c>
      <c r="L4" s="31">
        <v>1.18</v>
      </c>
      <c r="M4" s="33">
        <v>15198</v>
      </c>
    </row>
    <row r="5" spans="1:13" ht="15.75" customHeight="1">
      <c r="A5" s="30" t="s">
        <v>21</v>
      </c>
      <c r="B5" s="31">
        <v>11.09</v>
      </c>
      <c r="C5" s="31">
        <v>1.66</v>
      </c>
      <c r="D5" s="31">
        <v>5.43</v>
      </c>
      <c r="E5" s="32">
        <v>15265.25</v>
      </c>
      <c r="F5" s="30" t="s">
        <v>143</v>
      </c>
      <c r="G5" s="32">
        <v>8775.25</v>
      </c>
      <c r="H5" s="31">
        <v>5.86</v>
      </c>
      <c r="I5" s="31">
        <v>37.01</v>
      </c>
      <c r="J5" s="31">
        <v>122.15</v>
      </c>
      <c r="K5" s="31">
        <v>56.1</v>
      </c>
      <c r="L5" s="31">
        <v>0.9</v>
      </c>
      <c r="M5" s="33">
        <v>184422</v>
      </c>
    </row>
    <row r="6" spans="1:13" ht="15.75" customHeight="1">
      <c r="A6" s="30" t="s">
        <v>24</v>
      </c>
      <c r="B6" s="31">
        <v>72.849999999999994</v>
      </c>
      <c r="C6" s="31">
        <v>60.96</v>
      </c>
      <c r="D6" s="31">
        <v>1.2</v>
      </c>
      <c r="E6" s="31" t="s">
        <v>144</v>
      </c>
      <c r="F6" s="30" t="s">
        <v>145</v>
      </c>
      <c r="G6" s="34">
        <v>7815</v>
      </c>
      <c r="H6" s="31">
        <v>28.68</v>
      </c>
      <c r="I6" s="31">
        <v>34.26</v>
      </c>
      <c r="J6" s="31">
        <v>2614</v>
      </c>
      <c r="K6" s="31">
        <v>1657</v>
      </c>
      <c r="L6" s="31">
        <v>0.7</v>
      </c>
      <c r="M6" s="33">
        <v>5380</v>
      </c>
    </row>
    <row r="7" spans="1:1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customHeight="1">
      <c r="A8" s="73" t="s">
        <v>146</v>
      </c>
      <c r="B8" s="60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selection sqref="A1:XFD1048576"/>
    </sheetView>
  </sheetViews>
  <sheetFormatPr defaultColWidth="12.6328125" defaultRowHeight="15.75" customHeight="1"/>
  <cols>
    <col min="1" max="1" width="19.7265625" style="3" customWidth="1"/>
    <col min="2" max="8" width="12.6328125" style="3"/>
    <col min="9" max="9" width="48.36328125" style="3" customWidth="1"/>
    <col min="10" max="16384" width="12.6328125" style="3"/>
  </cols>
  <sheetData>
    <row r="1" spans="1:28" ht="15.75" customHeight="1">
      <c r="A1" s="12" t="s">
        <v>0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2"/>
      <c r="H1" s="1"/>
      <c r="I1" s="14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15" t="s">
        <v>10</v>
      </c>
      <c r="B2" s="16">
        <v>2024</v>
      </c>
      <c r="C2" s="16">
        <v>2023</v>
      </c>
      <c r="D2" s="16">
        <v>2022</v>
      </c>
      <c r="E2" s="16">
        <v>2021</v>
      </c>
      <c r="F2" s="16">
        <v>2020</v>
      </c>
      <c r="G2" s="2"/>
      <c r="H2" s="17">
        <v>1</v>
      </c>
      <c r="I2" s="14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>
      <c r="A3" s="18" t="s">
        <v>147</v>
      </c>
      <c r="B3" s="19"/>
      <c r="C3" s="19"/>
      <c r="D3" s="19"/>
      <c r="E3" s="19"/>
      <c r="F3" s="19"/>
      <c r="G3" s="2"/>
      <c r="H3" s="20" t="s">
        <v>11</v>
      </c>
      <c r="I3" s="1" t="s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18" t="s">
        <v>148</v>
      </c>
      <c r="B4" s="19"/>
      <c r="C4" s="19"/>
      <c r="D4" s="19"/>
      <c r="E4" s="19"/>
      <c r="F4" s="19"/>
      <c r="G4" s="2"/>
      <c r="H4" s="20" t="s">
        <v>13</v>
      </c>
      <c r="I4" s="1" t="s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18" t="s">
        <v>149</v>
      </c>
      <c r="B5" s="19"/>
      <c r="C5" s="19"/>
      <c r="D5" s="19"/>
      <c r="E5" s="19"/>
      <c r="F5" s="19"/>
      <c r="G5" s="2"/>
      <c r="H5" s="20" t="s">
        <v>16</v>
      </c>
      <c r="I5" s="1" t="s">
        <v>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18" t="s">
        <v>150</v>
      </c>
      <c r="B6" s="19"/>
      <c r="C6" s="19"/>
      <c r="D6" s="19"/>
      <c r="E6" s="19"/>
      <c r="F6" s="19"/>
      <c r="G6" s="2"/>
      <c r="H6" s="20" t="s">
        <v>19</v>
      </c>
      <c r="I6" s="1" t="s">
        <v>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18" t="s">
        <v>151</v>
      </c>
      <c r="B7" s="19"/>
      <c r="C7" s="19"/>
      <c r="D7" s="19"/>
      <c r="E7" s="19"/>
      <c r="F7" s="19"/>
      <c r="G7" s="2"/>
      <c r="H7" s="20" t="s">
        <v>22</v>
      </c>
      <c r="I7" s="1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18" t="s">
        <v>152</v>
      </c>
      <c r="B8" s="19"/>
      <c r="C8" s="19"/>
      <c r="D8" s="19"/>
      <c r="E8" s="19"/>
      <c r="F8" s="19"/>
      <c r="G8" s="2"/>
      <c r="H8" s="20" t="s">
        <v>25</v>
      </c>
      <c r="I8" s="1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21"/>
      <c r="B9" s="21"/>
      <c r="C9" s="21"/>
      <c r="D9" s="21"/>
      <c r="E9" s="21"/>
      <c r="F9" s="21"/>
      <c r="G9" s="2"/>
      <c r="H9" s="20" t="s">
        <v>27</v>
      </c>
      <c r="I9" s="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22" t="s">
        <v>153</v>
      </c>
      <c r="B10" s="23" t="s">
        <v>5</v>
      </c>
      <c r="C10" s="23" t="s">
        <v>6</v>
      </c>
      <c r="D10" s="23" t="s">
        <v>7</v>
      </c>
      <c r="E10" s="23" t="s">
        <v>8</v>
      </c>
      <c r="F10" s="23" t="s">
        <v>9</v>
      </c>
      <c r="G10" s="2"/>
      <c r="H10" s="20" t="s">
        <v>29</v>
      </c>
      <c r="I10" s="1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24" t="s">
        <v>63</v>
      </c>
      <c r="B11" s="25"/>
      <c r="C11" s="25"/>
      <c r="D11" s="25"/>
      <c r="E11" s="25"/>
      <c r="F11" s="25"/>
      <c r="G11" s="2"/>
      <c r="H11" s="17">
        <v>2</v>
      </c>
      <c r="I11" s="14" t="s">
        <v>31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24" t="s">
        <v>154</v>
      </c>
      <c r="B12" s="25"/>
      <c r="C12" s="25"/>
      <c r="D12" s="25"/>
      <c r="E12" s="25"/>
      <c r="F12" s="25"/>
      <c r="G12" s="2"/>
      <c r="H12" s="20" t="s">
        <v>11</v>
      </c>
      <c r="I12" s="1" t="s">
        <v>32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24" t="s">
        <v>65</v>
      </c>
      <c r="B13" s="25"/>
      <c r="C13" s="25"/>
      <c r="D13" s="25"/>
      <c r="E13" s="25"/>
      <c r="F13" s="25"/>
      <c r="G13" s="2"/>
      <c r="H13" s="20" t="s">
        <v>13</v>
      </c>
      <c r="I13" s="1" t="s">
        <v>33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24" t="s">
        <v>66</v>
      </c>
      <c r="B14" s="25"/>
      <c r="C14" s="25"/>
      <c r="D14" s="25"/>
      <c r="E14" s="25"/>
      <c r="F14" s="2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24" t="s">
        <v>155</v>
      </c>
      <c r="B15" s="25"/>
      <c r="C15" s="25"/>
      <c r="D15" s="25"/>
      <c r="E15" s="25"/>
      <c r="F15" s="25"/>
      <c r="G15" s="2"/>
      <c r="H15" s="17">
        <v>2</v>
      </c>
      <c r="I15" s="14" t="s">
        <v>156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24" t="s">
        <v>157</v>
      </c>
      <c r="B16" s="25"/>
      <c r="C16" s="25"/>
      <c r="D16" s="25"/>
      <c r="E16" s="25"/>
      <c r="F16" s="25"/>
      <c r="G16" s="2"/>
      <c r="H16" s="20" t="s">
        <v>11</v>
      </c>
      <c r="I16" s="1" t="s">
        <v>158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24" t="s">
        <v>57</v>
      </c>
      <c r="B17" s="25"/>
      <c r="C17" s="25"/>
      <c r="D17" s="25"/>
      <c r="E17" s="25"/>
      <c r="F17" s="25"/>
      <c r="G17" s="2"/>
      <c r="H17" s="20" t="s">
        <v>13</v>
      </c>
      <c r="I17" s="1" t="s">
        <v>159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24" t="s">
        <v>58</v>
      </c>
      <c r="B18" s="25"/>
      <c r="C18" s="25"/>
      <c r="D18" s="25"/>
      <c r="E18" s="25"/>
      <c r="F18" s="25"/>
      <c r="G18" s="2"/>
      <c r="H18" s="20" t="s">
        <v>16</v>
      </c>
      <c r="I18" s="1" t="s">
        <v>160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24" t="s">
        <v>161</v>
      </c>
      <c r="B19" s="25"/>
      <c r="C19" s="25"/>
      <c r="D19" s="74"/>
      <c r="E19" s="75"/>
      <c r="F19" s="76"/>
      <c r="G19" s="2"/>
      <c r="H19" s="20" t="s">
        <v>19</v>
      </c>
      <c r="I19" s="1" t="s">
        <v>162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2"/>
      <c r="B20" s="2"/>
      <c r="C20" s="2"/>
      <c r="D20" s="2"/>
      <c r="E20" s="2"/>
      <c r="F20" s="2"/>
      <c r="G20" s="2"/>
      <c r="H20" s="20" t="s">
        <v>22</v>
      </c>
      <c r="I20" s="1" t="s">
        <v>163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2"/>
      <c r="B21" s="2"/>
      <c r="C21" s="2"/>
      <c r="D21" s="2"/>
      <c r="E21" s="2"/>
      <c r="F21" s="2"/>
      <c r="G21" s="2"/>
      <c r="H21" s="20" t="s">
        <v>25</v>
      </c>
      <c r="I21" s="1" t="s">
        <v>164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D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Fundamental Analysis Template</vt:lpstr>
      <vt:lpstr>Component 3</vt:lpstr>
      <vt:lpstr>Optimal Portfolio allocation</vt:lpstr>
      <vt:lpstr>Long Term Performance Analysis</vt:lpstr>
      <vt:lpstr>Portfolio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Anand</cp:lastModifiedBy>
  <dcterms:created xsi:type="dcterms:W3CDTF">2025-04-03T07:52:09Z</dcterms:created>
  <dcterms:modified xsi:type="dcterms:W3CDTF">2026-06-20T16:50:35Z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26DFB5CE783A4516A298EE9C8A78091E_12</vt:lpwstr>
  </property>
  <property fmtid="{D5CDD505-2E9C-101B-9397-08002B2CF9AE}" pid="3" name="KSOProductBuildVer">
    <vt:lpwstr>1033-12.2.0.20326</vt:lpwstr>
  </property>
</Properties>
</file>