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amental Analysis Template" sheetId="1" r:id="rId4"/>
    <sheet state="visible" name="Component 3" sheetId="2" r:id="rId5"/>
    <sheet state="visible" name="Optimal Portfolio allocation" sheetId="3" r:id="rId6"/>
    <sheet state="visible" name="Portfolio" sheetId="4" r:id="rId7"/>
    <sheet state="visible" name="Reference" sheetId="5" r:id="rId8"/>
  </sheets>
  <definedNames/>
  <calcPr/>
</workbook>
</file>

<file path=xl/sharedStrings.xml><?xml version="1.0" encoding="utf-8"?>
<sst xmlns="http://schemas.openxmlformats.org/spreadsheetml/2006/main" count="396" uniqueCount="135">
  <si>
    <t>Fundamental Analysis</t>
  </si>
  <si>
    <t>Mandatory</t>
  </si>
  <si>
    <t>Optional</t>
  </si>
  <si>
    <t>Component 2</t>
  </si>
  <si>
    <t>Earnings per Share</t>
  </si>
  <si>
    <t>Year 1</t>
  </si>
  <si>
    <t>Year 2</t>
  </si>
  <si>
    <t>Year 3</t>
  </si>
  <si>
    <t>Year 4</t>
  </si>
  <si>
    <t>Year 5</t>
  </si>
  <si>
    <t>Particulars</t>
  </si>
  <si>
    <t>a</t>
  </si>
  <si>
    <t>ONGC</t>
  </si>
  <si>
    <t>b</t>
  </si>
  <si>
    <t>Price to Sales Ratio (P/S)</t>
  </si>
  <si>
    <t>NTPC</t>
  </si>
  <si>
    <t>c</t>
  </si>
  <si>
    <t>Price to Earnings Ratio (P/E)</t>
  </si>
  <si>
    <t>Tata Steel</t>
  </si>
  <si>
    <t>d</t>
  </si>
  <si>
    <t>Profitability Ratios - gross, net and operating</t>
  </si>
  <si>
    <t>Bharat Electronics</t>
  </si>
  <si>
    <t>e</t>
  </si>
  <si>
    <t>Liquidity Ratios - current, quick ratio</t>
  </si>
  <si>
    <t>Hindustan Unilever Limited</t>
  </si>
  <si>
    <t>f</t>
  </si>
  <si>
    <t>Solvency Ratios - debt-equity, interest coverage</t>
  </si>
  <si>
    <t>g</t>
  </si>
  <si>
    <t>Growth Trends Analysis - 3 years sales and net profit</t>
  </si>
  <si>
    <t>h</t>
  </si>
  <si>
    <t>Return on Investment</t>
  </si>
  <si>
    <t>Technical Analysis</t>
  </si>
  <si>
    <t>RSI (Relative Strength Index)</t>
  </si>
  <si>
    <t>Trendlines</t>
  </si>
  <si>
    <t>Suggestions:</t>
  </si>
  <si>
    <t xml:space="preserve">1. ONGC- </t>
  </si>
  <si>
    <r>
      <rPr>
        <rFont val="Lexend Deca"/>
        <b/>
        <color rgb="FFFF00FF"/>
      </rPr>
      <t>Hold ONGC</t>
    </r>
    <r>
      <rPr>
        <rFont val="Lexend Deca"/>
        <color rgb="FFFF00FF"/>
      </rPr>
      <t xml:space="preserve"> </t>
    </r>
    <r>
      <rPr>
        <rFont val="Lexend Deca"/>
        <color theme="1"/>
      </rPr>
      <t>for</t>
    </r>
    <r>
      <rPr>
        <rFont val="Lexend Deca"/>
        <b/>
        <color theme="1"/>
      </rPr>
      <t xml:space="preserve"> steady dividends</t>
    </r>
    <r>
      <rPr>
        <rFont val="Lexend Deca"/>
        <color theme="1"/>
      </rPr>
      <t xml:space="preserve"> and value investing. </t>
    </r>
    <r>
      <rPr>
        <rFont val="Lexend Deca"/>
        <b/>
        <color theme="1"/>
      </rPr>
      <t>P/E Ratio of 8.32</t>
    </r>
    <r>
      <rPr>
        <rFont val="Lexend Deca"/>
        <color theme="1"/>
      </rPr>
      <t xml:space="preserve"> is low compared to industry standards, meaning the stock is cheap relative to earnings. If it drops </t>
    </r>
    <r>
      <rPr>
        <rFont val="Lexend Deca"/>
        <b/>
        <color theme="1"/>
      </rPr>
      <t>below RSI 35, consider adding more.</t>
    </r>
  </si>
  <si>
    <t>2. NTPC-</t>
  </si>
  <si>
    <r>
      <rPr>
        <rFont val="Lexend Deca"/>
        <b/>
        <color rgb="FFFF00FF"/>
      </rPr>
      <t xml:space="preserve">Drop ONGC. </t>
    </r>
    <r>
      <rPr>
        <rFont val="Lexend Deca"/>
        <b/>
        <color theme="1"/>
      </rPr>
      <t>RSI: 63.01 --</t>
    </r>
    <r>
      <rPr>
        <rFont val="Lexend Deca"/>
        <color theme="1"/>
      </rPr>
      <t xml:space="preserve"> The stock is nearing overbought territory. Debt-to-Equity </t>
    </r>
    <r>
      <rPr>
        <rFont val="Lexend Deca"/>
        <b/>
        <color theme="1"/>
      </rPr>
      <t>(D/E)</t>
    </r>
    <r>
      <rPr>
        <rFont val="Lexend Deca"/>
        <color theme="1"/>
      </rPr>
      <t xml:space="preserve"> Ratio: </t>
    </r>
    <r>
      <rPr>
        <rFont val="Lexend Deca"/>
        <b/>
        <color theme="1"/>
      </rPr>
      <t xml:space="preserve">1.24 (2024) -- Very high </t>
    </r>
    <r>
      <rPr>
        <rFont val="Lexend Deca"/>
        <color theme="1"/>
      </rPr>
      <t xml:space="preserve">compared to other stable stocks. </t>
    </r>
    <r>
      <rPr>
        <rFont val="Lexend Deca"/>
        <b/>
        <color theme="1"/>
      </rPr>
      <t>EPS</t>
    </r>
    <r>
      <rPr>
        <rFont val="Lexend Deca"/>
        <color theme="1"/>
      </rPr>
      <t xml:space="preserve"> (Earnings Per Share) growth is </t>
    </r>
    <r>
      <rPr>
        <rFont val="Lexend Deca"/>
        <b/>
        <color theme="1"/>
      </rPr>
      <t xml:space="preserve">slow </t>
    </r>
    <r>
      <rPr>
        <rFont val="Lexend Deca"/>
        <color theme="1"/>
      </rPr>
      <t xml:space="preserve">-- 16.62 (2022) to 18.64 (2024). </t>
    </r>
    <r>
      <rPr>
        <rFont val="Lexend Deca"/>
        <b/>
        <color theme="1"/>
      </rPr>
      <t>P/E</t>
    </r>
    <r>
      <rPr>
        <rFont val="Lexend Deca"/>
        <color theme="1"/>
      </rPr>
      <t xml:space="preserve"> Ratio: 18.02 (2024) -- </t>
    </r>
    <r>
      <rPr>
        <rFont val="Lexend Deca"/>
        <b/>
        <color theme="1"/>
      </rPr>
      <t xml:space="preserve">Higher </t>
    </r>
    <r>
      <rPr>
        <rFont val="Lexend Deca"/>
        <color theme="1"/>
      </rPr>
      <t xml:space="preserve">than historical averages, meaning the </t>
    </r>
    <r>
      <rPr>
        <rFont val="Lexend Deca"/>
        <b/>
        <color theme="1"/>
      </rPr>
      <t>stock may be overpriced.</t>
    </r>
    <r>
      <rPr>
        <rFont val="Lexend Deca"/>
        <color theme="1"/>
      </rPr>
      <t xml:space="preserve"> </t>
    </r>
  </si>
  <si>
    <t>Gross profit margin</t>
  </si>
  <si>
    <t>3. Tata Steel-</t>
  </si>
  <si>
    <r>
      <rPr>
        <rFont val="Lexend Deca"/>
        <b/>
        <color rgb="FFFF00FF"/>
      </rPr>
      <t>Drop TATA Steel.</t>
    </r>
    <r>
      <rPr>
        <rFont val="Lexend Deca"/>
        <color theme="1"/>
      </rPr>
      <t xml:space="preserve"> Earnings Per Share (</t>
    </r>
    <r>
      <rPr>
        <rFont val="Lexend Deca"/>
        <b/>
        <color theme="1"/>
      </rPr>
      <t>EPS</t>
    </r>
    <r>
      <rPr>
        <rFont val="Lexend Deca"/>
        <color theme="1"/>
      </rPr>
      <t>) crashed from</t>
    </r>
    <r>
      <rPr>
        <rFont val="Lexend Deca"/>
        <b/>
        <color theme="1"/>
      </rPr>
      <t xml:space="preserve"> ₹270.33 (2022) to ₹3.85 (2024).</t>
    </r>
    <r>
      <rPr>
        <rFont val="Lexend Deca"/>
        <color theme="1"/>
      </rPr>
      <t xml:space="preserve"> Current </t>
    </r>
    <r>
      <rPr>
        <rFont val="Lexend Deca"/>
        <b/>
        <color theme="1"/>
      </rPr>
      <t>RSI: 71.32</t>
    </r>
    <r>
      <rPr>
        <rFont val="Lexend Deca"/>
        <color theme="1"/>
      </rPr>
      <t xml:space="preserve"> -- This means Tata Steel is in the overbought zone. Debt-to-Equity (</t>
    </r>
    <r>
      <rPr>
        <rFont val="Lexend Deca"/>
        <b/>
        <color theme="1"/>
      </rPr>
      <t>D/E</t>
    </r>
    <r>
      <rPr>
        <rFont val="Lexend Deca"/>
        <color theme="1"/>
      </rPr>
      <t xml:space="preserve">) Ratio is rising. </t>
    </r>
    <r>
      <rPr>
        <rFont val="Lexend Deca"/>
        <b/>
        <color theme="1"/>
      </rPr>
      <t xml:space="preserve">P/E </t>
    </r>
    <r>
      <rPr>
        <rFont val="Lexend Deca"/>
        <color theme="1"/>
      </rPr>
      <t>Ratio jumped from</t>
    </r>
    <r>
      <rPr>
        <rFont val="Lexend Deca"/>
        <b/>
        <color theme="1"/>
      </rPr>
      <t xml:space="preserve"> 0.48 (2022) to 40.48 (2024). </t>
    </r>
  </si>
  <si>
    <t>4. Bharat Electronics-</t>
  </si>
  <si>
    <t>Operating profit margin</t>
  </si>
  <si>
    <r>
      <rPr>
        <rFont val="Lexend Deca"/>
        <b/>
        <color rgb="FFFF00FF"/>
      </rPr>
      <t xml:space="preserve">Hold BEL. </t>
    </r>
    <r>
      <rPr>
        <rFont val="Lexend Deca"/>
        <b/>
        <color theme="1"/>
      </rPr>
      <t xml:space="preserve">Zero debt </t>
    </r>
    <r>
      <rPr>
        <rFont val="Lexend Deca"/>
        <color theme="1"/>
      </rPr>
      <t xml:space="preserve">makes it a low-risk investment. </t>
    </r>
    <r>
      <rPr>
        <rFont val="Lexend Deca"/>
        <b/>
        <color theme="1"/>
      </rPr>
      <t>Huge cash reserves</t>
    </r>
    <r>
      <rPr>
        <rFont val="Lexend Deca"/>
        <color theme="1"/>
      </rPr>
      <t xml:space="preserve"> and no debt pressure. </t>
    </r>
    <r>
      <rPr>
        <rFont val="Lexend Deca"/>
        <b/>
        <color theme="1"/>
      </rPr>
      <t xml:space="preserve">RSI: 55.15 </t>
    </r>
    <r>
      <rPr>
        <rFont val="Lexend Deca"/>
        <color theme="1"/>
      </rPr>
      <t>→ Neutral zone, not overbought. Consistently pays dividends due to</t>
    </r>
    <r>
      <rPr>
        <rFont val="Lexend Deca"/>
        <b/>
        <color theme="1"/>
      </rPr>
      <t xml:space="preserve"> strong profitability.</t>
    </r>
    <r>
      <rPr>
        <rFont val="Lexend Deca"/>
        <color theme="1"/>
      </rPr>
      <t xml:space="preserve">
</t>
    </r>
    <r>
      <rPr>
        <rFont val="Lexend Deca"/>
        <b/>
        <color theme="1"/>
      </rPr>
      <t>BUY on dips</t>
    </r>
    <r>
      <rPr>
        <rFont val="Lexend Deca"/>
        <color theme="1"/>
      </rPr>
      <t xml:space="preserve"> (if RSI falls to 40 or below) </t>
    </r>
  </si>
  <si>
    <t>5. HUL-</t>
  </si>
  <si>
    <r>
      <rPr>
        <rFont val="Lexend Deca"/>
        <b/>
        <color rgb="FFFF00FF"/>
      </rPr>
      <t xml:space="preserve">Hold HUL. </t>
    </r>
    <r>
      <rPr>
        <rFont val="Lexend Deca"/>
        <b val="0"/>
        <color rgb="FF000000"/>
      </rPr>
      <t xml:space="preserve"> </t>
    </r>
    <r>
      <rPr>
        <rFont val="Lexend Deca"/>
        <b/>
        <color rgb="FF000000"/>
      </rPr>
      <t>Net profit margins are stable</t>
    </r>
    <r>
      <rPr>
        <rFont val="Lexend Deca"/>
        <b val="0"/>
        <color rgb="FF000000"/>
      </rPr>
      <t xml:space="preserve">. Top-selling brands like Lux, Dove, Surf Excel, Pepsodent, Horlicks, and Bru. </t>
    </r>
    <r>
      <rPr>
        <rFont val="Lexend Deca"/>
        <b/>
        <color rgb="FF000000"/>
      </rPr>
      <t>Zero debt,</t>
    </r>
    <r>
      <rPr>
        <rFont val="Lexend Deca"/>
        <b val="0"/>
        <color rgb="FF000000"/>
      </rPr>
      <t xml:space="preserve"> meaning no financial burden. Interest Coverage Ratio:</t>
    </r>
    <r>
      <rPr>
        <rFont val="Lexend Deca"/>
        <b/>
        <color rgb="FF000000"/>
      </rPr>
      <t xml:space="preserve"> 50.21 -- Strong cash flow</t>
    </r>
    <r>
      <rPr>
        <rFont val="Lexend Deca"/>
        <b val="0"/>
        <color rgb="FF000000"/>
      </rPr>
      <t xml:space="preserve">. </t>
    </r>
    <r>
      <rPr>
        <rFont val="Lexend Deca"/>
        <b/>
        <color rgb="FF000000"/>
      </rPr>
      <t>RSI: 38.78 -- Near oversold.</t>
    </r>
  </si>
  <si>
    <t>Net profit margin</t>
  </si>
  <si>
    <t>Current Ratio</t>
  </si>
  <si>
    <t>Quick Ratio</t>
  </si>
  <si>
    <t>Debt-equity Ratio (D/E)</t>
  </si>
  <si>
    <t>Interest Coverage</t>
  </si>
  <si>
    <t>3 years Sales</t>
  </si>
  <si>
    <t>3 years Net profit</t>
  </si>
  <si>
    <t>Return on Investment (ROI)</t>
  </si>
  <si>
    <t>Note:</t>
  </si>
  <si>
    <t>ROI=Net income/(long-term liabilities + shareholders' equity) [when investment details aren’t mentioned</t>
  </si>
  <si>
    <t>Reference Purpose ONLY</t>
  </si>
  <si>
    <t>For each selected stock add the below details:</t>
  </si>
  <si>
    <t>Selected Stock:Infosys</t>
  </si>
  <si>
    <t>Market Research</t>
  </si>
  <si>
    <t>Particluars</t>
  </si>
  <si>
    <t>Reserves  &amp; Surplus</t>
  </si>
  <si>
    <t>EPS</t>
  </si>
  <si>
    <t>Book Value</t>
  </si>
  <si>
    <t>52 week high and low (Mention date)</t>
  </si>
  <si>
    <t xml:space="preserve">Low: 1,358.35 </t>
  </si>
  <si>
    <t>High: 2,006.45</t>
  </si>
  <si>
    <t>Date: Feb 10th, 2025</t>
  </si>
  <si>
    <t>Total Sales</t>
  </si>
  <si>
    <t>Total Profits</t>
  </si>
  <si>
    <t>Dividends</t>
  </si>
  <si>
    <t>P/E</t>
  </si>
  <si>
    <t>#Outstanding shares (in Cr)</t>
  </si>
  <si>
    <t>Recent stock performance: (increasing/decreasing/fluctuating in the past 2-3 months)</t>
  </si>
  <si>
    <t>Why did you buy this stock: Explain the reason</t>
  </si>
  <si>
    <t>Company profile:</t>
  </si>
  <si>
    <t>Year of establishment</t>
  </si>
  <si>
    <t>Founder(s) name if available</t>
  </si>
  <si>
    <t>Products/Services Offered:</t>
  </si>
  <si>
    <t>Example/Reference ONLY</t>
  </si>
  <si>
    <t>Optimal Portfolio allocation: Invest 10 lakhs virtual cash for the 10 stocks</t>
  </si>
  <si>
    <t>Sno</t>
  </si>
  <si>
    <t>Original Portfolio</t>
  </si>
  <si>
    <t>Updated Portfolio</t>
  </si>
  <si>
    <t>Stock name</t>
  </si>
  <si>
    <t>Stock price</t>
  </si>
  <si>
    <t>Qty</t>
  </si>
  <si>
    <t>Amount</t>
  </si>
  <si>
    <t>% Alloted</t>
  </si>
  <si>
    <t>Infosys</t>
  </si>
  <si>
    <t>Sun Pharma</t>
  </si>
  <si>
    <t>Bharti Airtel</t>
  </si>
  <si>
    <t>Ultratech Cement</t>
  </si>
  <si>
    <t>Asian Paints</t>
  </si>
  <si>
    <t>Reliance Industries</t>
  </si>
  <si>
    <t>Coal India</t>
  </si>
  <si>
    <t>Total</t>
  </si>
  <si>
    <t>Company Name</t>
  </si>
  <si>
    <t>P/E Ratio</t>
  </si>
  <si>
    <t>P/B Ratio</t>
  </si>
  <si>
    <t>Dividend Yield(%)</t>
  </si>
  <si>
    <t>Market Capital(Rs in Cr)</t>
  </si>
  <si>
    <t>Sector</t>
  </si>
  <si>
    <t>Company's Reserve(Rs in Cr)</t>
  </si>
  <si>
    <t>52 week High</t>
  </si>
  <si>
    <t>52 week Low</t>
  </si>
  <si>
    <t>Beta</t>
  </si>
  <si>
    <t>No. of shares</t>
  </si>
  <si>
    <t>Oil &amp; Gas</t>
  </si>
  <si>
    <t>1,96,702.40</t>
  </si>
  <si>
    <t>Power</t>
  </si>
  <si>
    <t>Metals &amp; Mining</t>
  </si>
  <si>
    <t>Capital Goods</t>
  </si>
  <si>
    <t>4,90,651.15</t>
  </si>
  <si>
    <t>FMCG</t>
  </si>
  <si>
    <t>*All values as on 20th May 2020</t>
  </si>
  <si>
    <t>Company 1</t>
  </si>
  <si>
    <t>company 2</t>
  </si>
  <si>
    <t>company 3</t>
  </si>
  <si>
    <t>Company 4</t>
  </si>
  <si>
    <t>Company 5</t>
  </si>
  <si>
    <t>Company 6</t>
  </si>
  <si>
    <t>Selected Stocks</t>
  </si>
  <si>
    <t>Total profits</t>
  </si>
  <si>
    <t>#Outstanding shares</t>
  </si>
  <si>
    <t>Ratios</t>
  </si>
  <si>
    <t>Reserves</t>
  </si>
  <si>
    <t>Liquidity-current and quick ratios</t>
  </si>
  <si>
    <t>Profitability-gross, operating and net profit margins</t>
  </si>
  <si>
    <t>Solvency-Debt-equity(D/E) &amp; Interest coverage ratios</t>
  </si>
  <si>
    <t>52 week high and low</t>
  </si>
  <si>
    <t>P/BV-price to book value</t>
  </si>
  <si>
    <t>P/E-price-to-earnings</t>
  </si>
  <si>
    <t>D/E-debt-to-equity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</si>
</sst>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Lexend Deca"/>
    </font>
    <font/>
    <font>
      <color theme="1"/>
      <name val="Lexend Deca"/>
    </font>
    <font>
      <color theme="1"/>
      <name val="Arial"/>
    </font>
    <font>
      <b/>
      <color theme="1"/>
      <name val="&quot;Lexend Deca&quot;"/>
    </font>
    <font>
      <color theme="1"/>
      <name val="&quot;Lexend Deca&quot;"/>
    </font>
    <font>
      <b/>
      <u/>
      <sz val="12.0"/>
      <color rgb="FF0000FF"/>
      <name val="Lexend Deca"/>
    </font>
    <font>
      <b/>
      <color rgb="FFFF0000"/>
      <name val="Lexend Deca"/>
    </font>
    <font>
      <sz val="8.0"/>
      <color rgb="FF282828"/>
      <name val="Latoregular"/>
    </font>
    <font>
      <b/>
      <color rgb="FFFF00FF"/>
      <name val="Lexend Deca"/>
    </font>
    <font>
      <sz val="11.0"/>
      <color rgb="FF000000"/>
      <name val="&quot;Lexend Deca&quot;"/>
    </font>
    <font>
      <b/>
      <sz val="10.0"/>
      <color theme="1"/>
      <name val="Lexend Deca"/>
    </font>
    <font>
      <b/>
      <sz val="11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6D9EEB"/>
        <bgColor rgb="FF6D9EEB"/>
      </patternFill>
    </fill>
    <fill>
      <patternFill patternType="solid">
        <fgColor rgb="FF63D297"/>
        <bgColor rgb="FF63D297"/>
      </patternFill>
    </fill>
  </fills>
  <borders count="19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</border>
    <border>
      <left style="thin">
        <color rgb="FF8BC34A"/>
      </left>
      <top style="thin">
        <color rgb="FF8BC34A"/>
      </top>
      <bottom style="thin">
        <color rgb="FF8BC34A"/>
      </bottom>
    </border>
    <border>
      <left style="thin">
        <color rgb="FF8BC34A"/>
      </left>
      <right style="thin">
        <color rgb="FF8BC34A"/>
      </right>
      <top style="thin">
        <color rgb="FF8BC34A"/>
      </top>
      <bottom style="thin">
        <color rgb="FF8BC34A"/>
      </bottom>
    </border>
    <border>
      <left style="thin">
        <color rgb="FF8BC34A"/>
      </left>
      <bottom style="thin">
        <color rgb="FF8BC34A"/>
      </bottom>
    </border>
    <border>
      <left style="thin">
        <color rgb="FF8BC34A"/>
      </left>
      <right style="thin">
        <color rgb="FF8BC34A"/>
      </right>
      <top style="thin">
        <color rgb="FF8BC34A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8BC34A"/>
      </right>
      <top style="thin">
        <color rgb="FF8BC34A"/>
      </top>
      <bottom style="thin">
        <color rgb="FF8BC34A"/>
      </bottom>
    </border>
    <border>
      <left style="thin">
        <color rgb="FF8BC34A"/>
      </left>
      <right style="thin">
        <color rgb="FF8BC34A"/>
      </right>
      <bottom style="thin">
        <color rgb="FF8BC34A"/>
      </bottom>
    </border>
    <border>
      <right style="thin">
        <color rgb="FF8BC34A"/>
      </right>
      <bottom style="thin">
        <color rgb="FF8BC34A"/>
      </bottom>
    </border>
    <border>
      <bottom style="thin">
        <color rgb="FF34A853"/>
      </bottom>
    </border>
    <border>
      <left style="thin">
        <color rgb="FF34A853"/>
      </left>
      <right style="thin">
        <color rgb="FF34A853"/>
      </right>
      <bottom style="thin">
        <color rgb="FF34A853"/>
      </bottom>
    </border>
    <border>
      <right style="thin">
        <color rgb="FF34A853"/>
      </right>
      <bottom style="thin">
        <color rgb="FF34A853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2" fontId="1" numFmtId="0" xfId="0" applyFont="1"/>
    <xf borderId="3" fillId="2" fontId="1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horizontal="right" vertical="bottom"/>
    </xf>
    <xf borderId="5" fillId="0" fontId="3" numFmtId="0" xfId="0" applyBorder="1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0" fillId="3" fontId="9" numFmtId="0" xfId="0" applyFill="1" applyFont="1"/>
    <xf borderId="0" fillId="2" fontId="1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4" fontId="1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7" fillId="7" fontId="1" numFmtId="0" xfId="0" applyAlignment="1" applyBorder="1" applyFont="1">
      <alignment horizontal="right" readingOrder="0" vertical="bottom"/>
    </xf>
    <xf borderId="7" fillId="7" fontId="1" numFmtId="0" xfId="0" applyAlignment="1" applyBorder="1" applyFont="1">
      <alignment horizontal="right" vertical="bottom"/>
    </xf>
    <xf borderId="8" fillId="3" fontId="3" numFmtId="0" xfId="0" applyAlignment="1" applyBorder="1" applyFont="1">
      <alignment readingOrder="0" vertical="bottom"/>
    </xf>
    <xf borderId="8" fillId="0" fontId="3" numFmtId="4" xfId="0" applyAlignment="1" applyBorder="1" applyFont="1" applyNumberFormat="1">
      <alignment readingOrder="0"/>
    </xf>
    <xf borderId="8" fillId="0" fontId="3" numFmtId="0" xfId="0" applyAlignment="1" applyBorder="1" applyFont="1">
      <alignment readingOrder="0"/>
    </xf>
    <xf borderId="8" fillId="0" fontId="3" numFmtId="2" xfId="0" applyAlignment="1" applyBorder="1" applyFont="1" applyNumberFormat="1">
      <alignment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readingOrder="0"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8" fillId="0" fontId="3" numFmtId="10" xfId="0" applyAlignment="1" applyBorder="1" applyFont="1" applyNumberFormat="1">
      <alignment horizontal="right" vertical="bottom"/>
    </xf>
    <xf borderId="8" fillId="0" fontId="3" numFmtId="0" xfId="0" applyBorder="1" applyFont="1"/>
    <xf borderId="1" fillId="0" fontId="1" numFmtId="0" xfId="0" applyAlignment="1" applyBorder="1" applyFont="1">
      <alignment horizontal="center" readingOrder="0"/>
    </xf>
    <xf borderId="9" fillId="0" fontId="2" numFmtId="0" xfId="0" applyBorder="1" applyFont="1"/>
    <xf borderId="8" fillId="0" fontId="1" numFmtId="0" xfId="0" applyBorder="1" applyFont="1"/>
    <xf borderId="8" fillId="0" fontId="1" numFmtId="10" xfId="0" applyAlignment="1" applyBorder="1" applyFont="1" applyNumberFormat="1">
      <alignment horizontal="right" vertical="bottom"/>
    </xf>
    <xf borderId="10" fillId="0" fontId="13" numFmtId="0" xfId="0" applyAlignment="1" applyBorder="1" applyFont="1">
      <alignment shrinkToFit="0" wrapText="1"/>
    </xf>
    <xf borderId="11" fillId="0" fontId="13" numFmtId="0" xfId="0" applyAlignment="1" applyBorder="1" applyFont="1">
      <alignment shrinkToFit="0" wrapText="1"/>
    </xf>
    <xf borderId="12" fillId="0" fontId="13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10" fillId="0" fontId="14" numFmtId="0" xfId="0" applyAlignment="1" applyBorder="1" applyFont="1">
      <alignment vertical="bottom"/>
    </xf>
    <xf borderId="10" fillId="0" fontId="14" numFmtId="0" xfId="0" applyAlignment="1" applyBorder="1" applyFont="1">
      <alignment horizontal="right" vertical="bottom"/>
    </xf>
    <xf borderId="10" fillId="0" fontId="14" numFmtId="4" xfId="0" applyAlignment="1" applyBorder="1" applyFont="1" applyNumberFormat="1">
      <alignment horizontal="right" vertical="bottom"/>
    </xf>
    <xf borderId="10" fillId="0" fontId="13" numFmtId="0" xfId="0" applyAlignment="1" applyBorder="1" applyFont="1">
      <alignment horizontal="right" vertical="bottom"/>
    </xf>
    <xf borderId="10" fillId="0" fontId="14" numFmtId="3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4" fontId="13" numFmtId="0" xfId="0" applyAlignment="1" applyFont="1">
      <alignment vertical="bottom"/>
    </xf>
    <xf borderId="8" fillId="2" fontId="5" numFmtId="0" xfId="0" applyAlignment="1" applyBorder="1" applyFont="1">
      <alignment readingOrder="0" vertical="bottom"/>
    </xf>
    <xf borderId="9" fillId="2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3" fillId="0" fontId="5" numFmtId="0" xfId="0" applyAlignment="1" applyBorder="1" applyFont="1">
      <alignment horizontal="right" readingOrder="0" vertical="bottom"/>
    </xf>
    <xf borderId="13" fillId="0" fontId="5" numFmtId="0" xfId="0" applyAlignment="1" applyBorder="1" applyFont="1">
      <alignment horizontal="right" vertical="bottom"/>
    </xf>
    <xf borderId="14" fillId="0" fontId="6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4" fillId="0" fontId="6" numFmtId="0" xfId="0" applyAlignment="1" applyBorder="1" applyFont="1">
      <alignment readingOrder="0" vertical="bottom"/>
    </xf>
    <xf borderId="16" fillId="0" fontId="4" numFmtId="0" xfId="0" applyAlignment="1" applyBorder="1" applyFont="1">
      <alignment vertical="bottom"/>
    </xf>
    <xf borderId="17" fillId="9" fontId="5" numFmtId="0" xfId="0" applyAlignment="1" applyBorder="1" applyFill="1" applyFont="1">
      <alignment readingOrder="0" vertical="bottom"/>
    </xf>
    <xf borderId="18" fillId="9" fontId="5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8" fillId="0" fontId="4" numFmtId="0" xfId="0" applyAlignment="1" applyBorder="1" applyFont="1">
      <alignment vertical="bottom"/>
    </xf>
    <xf borderId="16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7" max="7" width="5.0"/>
    <col customWidth="1" min="8" max="8" width="3.38"/>
    <col customWidth="1" min="9" max="9" width="46.0"/>
  </cols>
  <sheetData>
    <row r="1">
      <c r="A1" s="1" t="s">
        <v>0</v>
      </c>
      <c r="B1" s="2" t="s">
        <v>1</v>
      </c>
      <c r="C1" s="3"/>
      <c r="D1" s="3"/>
      <c r="E1" s="2" t="s">
        <v>2</v>
      </c>
      <c r="F1" s="3"/>
      <c r="G1" s="4"/>
      <c r="H1" s="5"/>
      <c r="I1" s="6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4"/>
      <c r="H2" s="9">
        <v>1.0</v>
      </c>
      <c r="I2" s="10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10</v>
      </c>
      <c r="B3" s="12">
        <v>2024.0</v>
      </c>
      <c r="C3" s="12">
        <v>2023.0</v>
      </c>
      <c r="D3" s="13">
        <v>2022.0</v>
      </c>
      <c r="E3" s="14"/>
      <c r="F3" s="14"/>
      <c r="G3" s="4"/>
      <c r="H3" s="15" t="s">
        <v>11</v>
      </c>
      <c r="I3" s="16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7" t="s">
        <v>12</v>
      </c>
      <c r="B4" s="18">
        <v>32.21</v>
      </c>
      <c r="C4" s="18">
        <v>30.86</v>
      </c>
      <c r="D4" s="18">
        <v>32.04</v>
      </c>
      <c r="E4" s="14"/>
      <c r="F4" s="14"/>
      <c r="G4" s="4"/>
      <c r="H4" s="15" t="s">
        <v>13</v>
      </c>
      <c r="I4" s="16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 t="s">
        <v>15</v>
      </c>
      <c r="B5" s="18">
        <v>18.64</v>
      </c>
      <c r="C5" s="18">
        <v>17.73</v>
      </c>
      <c r="D5" s="18">
        <v>16.62</v>
      </c>
      <c r="E5" s="14"/>
      <c r="F5" s="14"/>
      <c r="G5" s="4"/>
      <c r="H5" s="15" t="s">
        <v>16</v>
      </c>
      <c r="I5" s="16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 t="s">
        <v>18</v>
      </c>
      <c r="B6" s="18">
        <v>3.85</v>
      </c>
      <c r="C6" s="18">
        <v>12.68</v>
      </c>
      <c r="D6" s="18">
        <v>270.33</v>
      </c>
      <c r="E6" s="14"/>
      <c r="F6" s="14"/>
      <c r="G6" s="4"/>
      <c r="H6" s="15" t="s">
        <v>19</v>
      </c>
      <c r="I6" s="16" t="s">
        <v>20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 t="s">
        <v>21</v>
      </c>
      <c r="B7" s="18">
        <v>5.5</v>
      </c>
      <c r="C7" s="18">
        <v>4.11</v>
      </c>
      <c r="D7" s="18">
        <v>9.64</v>
      </c>
      <c r="E7" s="14"/>
      <c r="F7" s="14"/>
      <c r="G7" s="4"/>
      <c r="H7" s="15" t="s">
        <v>22</v>
      </c>
      <c r="I7" s="16" t="s">
        <v>23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 t="s">
        <v>24</v>
      </c>
      <c r="B8" s="18">
        <v>43.05</v>
      </c>
      <c r="C8" s="18">
        <v>42.4</v>
      </c>
      <c r="D8" s="18">
        <v>37.53</v>
      </c>
      <c r="E8" s="14"/>
      <c r="F8" s="14"/>
      <c r="G8" s="4"/>
      <c r="H8" s="15" t="s">
        <v>25</v>
      </c>
      <c r="I8" s="16" t="s">
        <v>26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15" t="s">
        <v>27</v>
      </c>
      <c r="I9" s="16" t="s">
        <v>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0</v>
      </c>
      <c r="B10" s="2" t="s">
        <v>1</v>
      </c>
      <c r="C10" s="3"/>
      <c r="D10" s="3"/>
      <c r="E10" s="2" t="s">
        <v>2</v>
      </c>
      <c r="F10" s="3"/>
      <c r="G10" s="4"/>
      <c r="H10" s="15" t="s">
        <v>29</v>
      </c>
      <c r="I10" s="16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4"/>
      <c r="H11" s="9">
        <v>2.0</v>
      </c>
      <c r="I11" s="10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10</v>
      </c>
      <c r="B12" s="12">
        <v>2024.0</v>
      </c>
      <c r="C12" s="12">
        <v>2023.0</v>
      </c>
      <c r="D12" s="13">
        <v>2022.0</v>
      </c>
      <c r="E12" s="14"/>
      <c r="F12" s="14"/>
      <c r="G12" s="4"/>
      <c r="H12" s="15" t="s">
        <v>11</v>
      </c>
      <c r="I12" s="16" t="s">
        <v>32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 t="s">
        <v>12</v>
      </c>
      <c r="B13" s="18">
        <v>2.6</v>
      </c>
      <c r="C13" s="18">
        <v>1.31</v>
      </c>
      <c r="D13" s="18">
        <v>1.87</v>
      </c>
      <c r="E13" s="14"/>
      <c r="F13" s="14"/>
      <c r="G13" s="4"/>
      <c r="H13" s="15" t="s">
        <v>13</v>
      </c>
      <c r="I13" s="16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15</v>
      </c>
      <c r="B14" s="18">
        <v>2.01</v>
      </c>
      <c r="C14" s="18">
        <v>1.04</v>
      </c>
      <c r="D14" s="18">
        <v>1.13</v>
      </c>
      <c r="E14" s="14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18</v>
      </c>
      <c r="B15" s="18">
        <v>1.38</v>
      </c>
      <c r="C15" s="18">
        <v>0.99</v>
      </c>
      <c r="D15" s="18">
        <v>1.24</v>
      </c>
      <c r="E15" s="14"/>
      <c r="F15" s="14"/>
      <c r="G15" s="4"/>
      <c r="H15" s="4"/>
      <c r="I15" s="19" t="s">
        <v>34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21</v>
      </c>
      <c r="B16" s="18">
        <v>7.3</v>
      </c>
      <c r="C16" s="18">
        <v>4.04</v>
      </c>
      <c r="D16" s="18">
        <v>3.35</v>
      </c>
      <c r="E16" s="14"/>
      <c r="F16" s="14"/>
      <c r="G16" s="4"/>
      <c r="H16" s="4"/>
      <c r="I16" s="20" t="s">
        <v>35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24</v>
      </c>
      <c r="B17" s="18">
        <v>8.82</v>
      </c>
      <c r="C17" s="18">
        <v>10.17</v>
      </c>
      <c r="D17" s="18">
        <v>9.41</v>
      </c>
      <c r="E17" s="14"/>
      <c r="F17" s="14"/>
      <c r="G17" s="4"/>
      <c r="H17" s="4"/>
      <c r="I17" s="21" t="s">
        <v>36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0</v>
      </c>
      <c r="B19" s="2" t="s">
        <v>1</v>
      </c>
      <c r="C19" s="3"/>
      <c r="D19" s="3"/>
      <c r="E19" s="2" t="s">
        <v>2</v>
      </c>
      <c r="F19" s="3"/>
      <c r="G19" s="4"/>
      <c r="H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17</v>
      </c>
      <c r="B20" s="8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4"/>
      <c r="H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10</v>
      </c>
      <c r="B21" s="12">
        <v>2024.0</v>
      </c>
      <c r="C21" s="12">
        <v>2023.0</v>
      </c>
      <c r="D21" s="13">
        <v>2022.0</v>
      </c>
      <c r="E21" s="14"/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 t="s">
        <v>12</v>
      </c>
      <c r="B22" s="18">
        <v>8.32</v>
      </c>
      <c r="C22" s="18">
        <v>4.89</v>
      </c>
      <c r="D22" s="18">
        <v>5.12</v>
      </c>
      <c r="E22" s="14"/>
      <c r="F22" s="14"/>
      <c r="G22" s="4"/>
      <c r="H22" s="4"/>
      <c r="I22" s="20" t="s">
        <v>37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 t="s">
        <v>15</v>
      </c>
      <c r="B23" s="18">
        <v>18.02</v>
      </c>
      <c r="C23" s="18">
        <v>9.88</v>
      </c>
      <c r="D23" s="18">
        <v>8.12</v>
      </c>
      <c r="E23" s="14"/>
      <c r="F23" s="14"/>
      <c r="G23" s="4"/>
      <c r="H23" s="4"/>
      <c r="I23" s="22" t="s">
        <v>38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 t="s">
        <v>18</v>
      </c>
      <c r="B24" s="18">
        <v>40.48</v>
      </c>
      <c r="C24" s="18">
        <v>8.24</v>
      </c>
      <c r="D24" s="18">
        <v>0.48</v>
      </c>
      <c r="E24" s="14"/>
      <c r="F24" s="14"/>
      <c r="G24" s="4"/>
      <c r="H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7" t="s">
        <v>21</v>
      </c>
      <c r="B25" s="18">
        <v>36.64</v>
      </c>
      <c r="C25" s="18">
        <v>23.73</v>
      </c>
      <c r="D25" s="18">
        <v>7.29</v>
      </c>
      <c r="E25" s="14"/>
      <c r="F25" s="14"/>
      <c r="G25" s="4"/>
      <c r="H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 t="s">
        <v>24</v>
      </c>
      <c r="B26" s="18">
        <v>52.6</v>
      </c>
      <c r="C26" s="18">
        <v>60.39</v>
      </c>
      <c r="D26" s="18">
        <v>54.59</v>
      </c>
      <c r="E26" s="14"/>
      <c r="F26" s="14"/>
      <c r="G26" s="4"/>
      <c r="H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23"/>
      <c r="C27" s="4"/>
      <c r="D27" s="4"/>
      <c r="E27" s="4"/>
      <c r="F27" s="4"/>
      <c r="G27" s="4"/>
      <c r="H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0</v>
      </c>
      <c r="B28" s="2" t="s">
        <v>1</v>
      </c>
      <c r="C28" s="3"/>
      <c r="D28" s="3"/>
      <c r="E28" s="2" t="s">
        <v>2</v>
      </c>
      <c r="F28" s="3"/>
      <c r="G28" s="4"/>
      <c r="H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 t="s">
        <v>39</v>
      </c>
      <c r="B29" s="8" t="s">
        <v>5</v>
      </c>
      <c r="C29" s="8" t="s">
        <v>6</v>
      </c>
      <c r="D29" s="8" t="s">
        <v>7</v>
      </c>
      <c r="E29" s="8" t="s">
        <v>8</v>
      </c>
      <c r="F29" s="8" t="s">
        <v>9</v>
      </c>
      <c r="G29" s="4"/>
      <c r="H29" s="4"/>
      <c r="I29" s="2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 t="s">
        <v>10</v>
      </c>
      <c r="B30" s="12">
        <v>2024.0</v>
      </c>
      <c r="C30" s="12">
        <v>2023.0</v>
      </c>
      <c r="D30" s="13">
        <v>2022.0</v>
      </c>
      <c r="E30" s="14"/>
      <c r="F30" s="14"/>
      <c r="G30" s="4"/>
      <c r="H30" s="4"/>
      <c r="I30" s="20" t="s">
        <v>40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12</v>
      </c>
      <c r="B31" s="18">
        <v>59.8</v>
      </c>
      <c r="C31" s="18">
        <v>57.03</v>
      </c>
      <c r="D31" s="18">
        <v>55.72</v>
      </c>
      <c r="E31" s="14"/>
      <c r="F31" s="14"/>
      <c r="G31" s="4"/>
      <c r="H31" s="4"/>
      <c r="I31" s="22" t="s">
        <v>41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15</v>
      </c>
      <c r="B32" s="18">
        <v>28.95</v>
      </c>
      <c r="C32" s="18">
        <v>28.81</v>
      </c>
      <c r="D32" s="18">
        <v>32.5</v>
      </c>
      <c r="E32" s="14"/>
      <c r="F32" s="14"/>
      <c r="G32" s="4"/>
      <c r="H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18</v>
      </c>
      <c r="B33" s="18">
        <v>23.37</v>
      </c>
      <c r="C33" s="18">
        <v>24.05</v>
      </c>
      <c r="D33" s="18">
        <v>40.75</v>
      </c>
      <c r="E33" s="14"/>
      <c r="F33" s="14"/>
      <c r="G33" s="4"/>
      <c r="H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21</v>
      </c>
      <c r="B34" s="18">
        <v>28.52</v>
      </c>
      <c r="C34" s="18">
        <v>24.97</v>
      </c>
      <c r="D34" s="18">
        <v>23.13</v>
      </c>
      <c r="E34" s="14"/>
      <c r="F34" s="14"/>
      <c r="G34" s="4"/>
      <c r="H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24</v>
      </c>
      <c r="B35" s="18">
        <v>25.07</v>
      </c>
      <c r="C35" s="18">
        <v>24.13</v>
      </c>
      <c r="D35" s="18">
        <v>25.19</v>
      </c>
      <c r="E35" s="14"/>
      <c r="F35" s="14"/>
      <c r="G35" s="4"/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23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0</v>
      </c>
      <c r="B37" s="2" t="s">
        <v>1</v>
      </c>
      <c r="C37" s="3"/>
      <c r="D37" s="3"/>
      <c r="E37" s="2" t="s">
        <v>2</v>
      </c>
      <c r="F37" s="3"/>
      <c r="G37" s="4"/>
      <c r="H37" s="4"/>
      <c r="I37" s="20" t="s">
        <v>42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 t="s">
        <v>43</v>
      </c>
      <c r="B38" s="8" t="s">
        <v>5</v>
      </c>
      <c r="C38" s="8" t="s">
        <v>6</v>
      </c>
      <c r="D38" s="8" t="s">
        <v>7</v>
      </c>
      <c r="E38" s="8" t="s">
        <v>8</v>
      </c>
      <c r="F38" s="8" t="s">
        <v>9</v>
      </c>
      <c r="G38" s="4"/>
      <c r="H38" s="4"/>
      <c r="I38" s="22" t="s">
        <v>44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 t="s">
        <v>10</v>
      </c>
      <c r="B39" s="12">
        <v>2024.0</v>
      </c>
      <c r="C39" s="12">
        <v>2023.0</v>
      </c>
      <c r="D39" s="13">
        <v>2022.0</v>
      </c>
      <c r="E39" s="14"/>
      <c r="F39" s="14"/>
      <c r="G39" s="4"/>
      <c r="H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 t="s">
        <v>12</v>
      </c>
      <c r="B40" s="18">
        <v>44.0</v>
      </c>
      <c r="C40" s="18">
        <v>43.13</v>
      </c>
      <c r="D40" s="18">
        <v>39.34</v>
      </c>
      <c r="E40" s="14"/>
      <c r="F40" s="14"/>
      <c r="G40" s="4"/>
      <c r="H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 t="s">
        <v>15</v>
      </c>
      <c r="B41" s="18">
        <v>20.34</v>
      </c>
      <c r="C41" s="18">
        <v>20.78</v>
      </c>
      <c r="D41" s="18">
        <v>22.83</v>
      </c>
      <c r="E41" s="14"/>
      <c r="F41" s="14"/>
      <c r="G41" s="4"/>
      <c r="H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7" t="s">
        <v>18</v>
      </c>
      <c r="B42" s="18">
        <v>19.14</v>
      </c>
      <c r="C42" s="18">
        <v>19.83</v>
      </c>
      <c r="D42" s="18">
        <v>36.51</v>
      </c>
      <c r="E42" s="14"/>
      <c r="F42" s="14"/>
      <c r="G42" s="4"/>
      <c r="H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7" t="s">
        <v>21</v>
      </c>
      <c r="B43" s="18">
        <v>26.48</v>
      </c>
      <c r="C43" s="18">
        <v>22.66</v>
      </c>
      <c r="D43" s="18">
        <v>20.65</v>
      </c>
      <c r="E43" s="14"/>
      <c r="F43" s="14"/>
      <c r="G43" s="4"/>
      <c r="H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7" t="s">
        <v>24</v>
      </c>
      <c r="B44" s="18">
        <v>23.26</v>
      </c>
      <c r="C44" s="18">
        <v>22.38</v>
      </c>
      <c r="D44" s="18">
        <v>23.18</v>
      </c>
      <c r="E44" s="14"/>
      <c r="F44" s="14"/>
      <c r="G44" s="4"/>
      <c r="H44" s="4"/>
      <c r="I44" s="20" t="s">
        <v>45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23"/>
      <c r="C45" s="4"/>
      <c r="D45" s="4"/>
      <c r="E45" s="4"/>
      <c r="F45" s="4"/>
      <c r="G45" s="4"/>
      <c r="H45" s="4"/>
      <c r="I45" s="25" t="s">
        <v>46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0</v>
      </c>
      <c r="B46" s="2" t="s">
        <v>1</v>
      </c>
      <c r="C46" s="3"/>
      <c r="D46" s="3"/>
      <c r="E46" s="2" t="s">
        <v>2</v>
      </c>
      <c r="F46" s="3"/>
      <c r="G46" s="4"/>
      <c r="H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 t="s">
        <v>47</v>
      </c>
      <c r="B47" s="8" t="s">
        <v>5</v>
      </c>
      <c r="C47" s="8" t="s">
        <v>6</v>
      </c>
      <c r="D47" s="8" t="s">
        <v>7</v>
      </c>
      <c r="E47" s="8" t="s">
        <v>8</v>
      </c>
      <c r="F47" s="8" t="s">
        <v>9</v>
      </c>
      <c r="G47" s="4"/>
      <c r="H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 t="s">
        <v>10</v>
      </c>
      <c r="B48" s="12">
        <v>2024.0</v>
      </c>
      <c r="C48" s="12">
        <v>2023.0</v>
      </c>
      <c r="D48" s="13">
        <v>2022.0</v>
      </c>
      <c r="E48" s="14"/>
      <c r="F48" s="14"/>
      <c r="G48" s="4"/>
      <c r="H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7" t="s">
        <v>12</v>
      </c>
      <c r="B49" s="18">
        <v>31.23</v>
      </c>
      <c r="C49" s="18">
        <v>26.86</v>
      </c>
      <c r="D49" s="18">
        <v>36.53</v>
      </c>
      <c r="E49" s="14"/>
      <c r="F49" s="14"/>
      <c r="G49" s="4"/>
      <c r="H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7" t="s">
        <v>15</v>
      </c>
      <c r="B50" s="18">
        <v>11.16</v>
      </c>
      <c r="C50" s="18">
        <v>10.5</v>
      </c>
      <c r="D50" s="18">
        <v>13.87</v>
      </c>
      <c r="E50" s="14"/>
      <c r="F50" s="14"/>
      <c r="G50" s="4"/>
      <c r="H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7" t="s">
        <v>18</v>
      </c>
      <c r="B51" s="18">
        <v>3.4</v>
      </c>
      <c r="C51" s="18">
        <v>12.01</v>
      </c>
      <c r="D51" s="18">
        <v>25.58</v>
      </c>
      <c r="E51" s="14"/>
      <c r="F51" s="1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7" t="s">
        <v>21</v>
      </c>
      <c r="B52" s="18">
        <v>19.93</v>
      </c>
      <c r="C52" s="18">
        <v>17.03</v>
      </c>
      <c r="D52" s="18">
        <v>15.33</v>
      </c>
      <c r="E52" s="14"/>
      <c r="F52" s="1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7" t="s">
        <v>24</v>
      </c>
      <c r="B53" s="18">
        <v>16.72</v>
      </c>
      <c r="C53" s="18">
        <v>16.84</v>
      </c>
      <c r="D53" s="18">
        <v>17.22</v>
      </c>
      <c r="E53" s="14"/>
      <c r="F53" s="1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2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0</v>
      </c>
      <c r="B55" s="2" t="s">
        <v>1</v>
      </c>
      <c r="C55" s="3"/>
      <c r="D55" s="3"/>
      <c r="E55" s="2" t="s">
        <v>2</v>
      </c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 t="s">
        <v>48</v>
      </c>
      <c r="B56" s="8" t="s">
        <v>5</v>
      </c>
      <c r="C56" s="8" t="s">
        <v>6</v>
      </c>
      <c r="D56" s="8" t="s">
        <v>7</v>
      </c>
      <c r="E56" s="8" t="s">
        <v>8</v>
      </c>
      <c r="F56" s="8" t="s">
        <v>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 t="s">
        <v>10</v>
      </c>
      <c r="B57" s="12">
        <v>2024.0</v>
      </c>
      <c r="C57" s="12">
        <v>2023.0</v>
      </c>
      <c r="D57" s="13">
        <v>2022.0</v>
      </c>
      <c r="E57" s="14"/>
      <c r="F57" s="1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7" t="s">
        <v>12</v>
      </c>
      <c r="B58" s="18">
        <v>1.58</v>
      </c>
      <c r="C58" s="18">
        <v>1.29</v>
      </c>
      <c r="D58" s="18">
        <v>0.98</v>
      </c>
      <c r="E58" s="14"/>
      <c r="F58" s="1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7" t="s">
        <v>15</v>
      </c>
      <c r="B59" s="18">
        <v>1.06</v>
      </c>
      <c r="C59" s="18">
        <v>1.04</v>
      </c>
      <c r="D59" s="18">
        <v>0.95</v>
      </c>
      <c r="E59" s="14"/>
      <c r="F59" s="1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7" t="s">
        <v>18</v>
      </c>
      <c r="B60" s="18">
        <v>0.73</v>
      </c>
      <c r="C60" s="18">
        <v>0.73</v>
      </c>
      <c r="D60" s="18">
        <v>0.58</v>
      </c>
      <c r="E60" s="14"/>
      <c r="F60" s="1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7" t="s">
        <v>21</v>
      </c>
      <c r="B61" s="18">
        <v>1.54</v>
      </c>
      <c r="C61" s="18">
        <v>1.46</v>
      </c>
      <c r="D61" s="18">
        <v>1.39</v>
      </c>
      <c r="E61" s="14"/>
      <c r="F61" s="1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7" t="s">
        <v>24</v>
      </c>
      <c r="B62" s="18">
        <v>1.64</v>
      </c>
      <c r="C62" s="18">
        <v>1.38</v>
      </c>
      <c r="D62" s="18">
        <v>1.34</v>
      </c>
      <c r="E62" s="14"/>
      <c r="F62" s="1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2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0</v>
      </c>
      <c r="B64" s="2" t="s">
        <v>1</v>
      </c>
      <c r="C64" s="3"/>
      <c r="D64" s="3"/>
      <c r="E64" s="2" t="s">
        <v>2</v>
      </c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 t="s">
        <v>49</v>
      </c>
      <c r="B65" s="8" t="s">
        <v>5</v>
      </c>
      <c r="C65" s="8" t="s">
        <v>6</v>
      </c>
      <c r="D65" s="8" t="s">
        <v>7</v>
      </c>
      <c r="E65" s="8" t="s">
        <v>8</v>
      </c>
      <c r="F65" s="8" t="s">
        <v>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 t="s">
        <v>10</v>
      </c>
      <c r="B66" s="12">
        <v>2024.0</v>
      </c>
      <c r="C66" s="12">
        <v>2023.0</v>
      </c>
      <c r="D66" s="13">
        <v>2022.0</v>
      </c>
      <c r="E66" s="14"/>
      <c r="F66" s="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7" t="s">
        <v>12</v>
      </c>
      <c r="B67" s="18">
        <v>1.32</v>
      </c>
      <c r="C67" s="18">
        <v>1.09</v>
      </c>
      <c r="D67" s="18">
        <v>0.77</v>
      </c>
      <c r="E67" s="14"/>
      <c r="F67" s="1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7" t="s">
        <v>15</v>
      </c>
      <c r="B68" s="18">
        <v>0.85</v>
      </c>
      <c r="C68" s="18">
        <v>0.86</v>
      </c>
      <c r="D68" s="18">
        <v>0.8</v>
      </c>
      <c r="E68" s="14"/>
      <c r="F68" s="1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7" t="s">
        <v>18</v>
      </c>
      <c r="B69" s="18">
        <v>0.24</v>
      </c>
      <c r="C69" s="18">
        <v>0.28</v>
      </c>
      <c r="D69" s="18">
        <v>0.21</v>
      </c>
      <c r="E69" s="14"/>
      <c r="F69" s="1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7" t="s">
        <v>21</v>
      </c>
      <c r="B70" s="18">
        <v>1.2</v>
      </c>
      <c r="C70" s="18">
        <v>1.15</v>
      </c>
      <c r="D70" s="18">
        <v>1.11</v>
      </c>
      <c r="E70" s="14"/>
      <c r="F70" s="1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7" t="s">
        <v>24</v>
      </c>
      <c r="B71" s="18">
        <v>1.33</v>
      </c>
      <c r="C71" s="18">
        <v>1.03</v>
      </c>
      <c r="D71" s="18">
        <v>0.98</v>
      </c>
      <c r="E71" s="14"/>
      <c r="F71" s="1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2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0</v>
      </c>
      <c r="B73" s="2" t="s">
        <v>1</v>
      </c>
      <c r="C73" s="3"/>
      <c r="D73" s="3"/>
      <c r="E73" s="2" t="s">
        <v>2</v>
      </c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 t="s">
        <v>50</v>
      </c>
      <c r="B74" s="8" t="s">
        <v>5</v>
      </c>
      <c r="C74" s="8" t="s">
        <v>6</v>
      </c>
      <c r="D74" s="8" t="s">
        <v>7</v>
      </c>
      <c r="E74" s="8" t="s">
        <v>8</v>
      </c>
      <c r="F74" s="8" t="s">
        <v>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 t="s">
        <v>10</v>
      </c>
      <c r="B75" s="12">
        <v>2024.0</v>
      </c>
      <c r="C75" s="12">
        <v>2023.0</v>
      </c>
      <c r="D75" s="13">
        <v>2022.0</v>
      </c>
      <c r="E75" s="14"/>
      <c r="F75" s="1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7" t="s">
        <v>12</v>
      </c>
      <c r="B76" s="18">
        <v>0.02</v>
      </c>
      <c r="C76" s="18">
        <v>0.03</v>
      </c>
      <c r="D76" s="18">
        <v>0.03</v>
      </c>
      <c r="E76" s="14"/>
      <c r="F76" s="1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7" t="s">
        <v>15</v>
      </c>
      <c r="B77" s="18">
        <v>1.24</v>
      </c>
      <c r="C77" s="18">
        <v>1.33</v>
      </c>
      <c r="D77" s="18">
        <v>1.33</v>
      </c>
      <c r="E77" s="14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7" t="s">
        <v>18</v>
      </c>
      <c r="B78" s="18">
        <v>0.29</v>
      </c>
      <c r="C78" s="18">
        <v>0.28</v>
      </c>
      <c r="D78" s="18">
        <v>0.26</v>
      </c>
      <c r="E78" s="14"/>
      <c r="F78" s="1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7" t="s">
        <v>21</v>
      </c>
      <c r="B79" s="18">
        <v>0.0</v>
      </c>
      <c r="C79" s="18">
        <v>0.0</v>
      </c>
      <c r="D79" s="18">
        <v>0.0</v>
      </c>
      <c r="E79" s="14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7" t="s">
        <v>24</v>
      </c>
      <c r="B80" s="18">
        <v>0.0</v>
      </c>
      <c r="C80" s="18">
        <v>0.0</v>
      </c>
      <c r="D80" s="18">
        <v>0.0</v>
      </c>
      <c r="E80" s="14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2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0</v>
      </c>
      <c r="B82" s="2" t="s">
        <v>1</v>
      </c>
      <c r="C82" s="3"/>
      <c r="D82" s="3"/>
      <c r="E82" s="2" t="s">
        <v>2</v>
      </c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 t="s">
        <v>51</v>
      </c>
      <c r="B83" s="8" t="s">
        <v>5</v>
      </c>
      <c r="C83" s="8" t="s">
        <v>6</v>
      </c>
      <c r="D83" s="8" t="s">
        <v>7</v>
      </c>
      <c r="E83" s="8" t="s">
        <v>8</v>
      </c>
      <c r="F83" s="8" t="s">
        <v>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 t="s">
        <v>10</v>
      </c>
      <c r="B84" s="12">
        <v>2024.0</v>
      </c>
      <c r="C84" s="12">
        <v>2023.0</v>
      </c>
      <c r="D84" s="13">
        <v>2022.0</v>
      </c>
      <c r="E84" s="14"/>
      <c r="F84" s="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7" t="s">
        <v>12</v>
      </c>
      <c r="B85" s="18">
        <v>19.01</v>
      </c>
      <c r="C85" s="18">
        <v>30.53</v>
      </c>
      <c r="D85" s="18">
        <v>26.05</v>
      </c>
      <c r="E85" s="14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7" t="s">
        <v>15</v>
      </c>
      <c r="B86" s="18">
        <v>4.58</v>
      </c>
      <c r="C86" s="18">
        <v>4.73</v>
      </c>
      <c r="D86" s="18">
        <v>5.14</v>
      </c>
      <c r="E86" s="14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7" t="s">
        <v>18</v>
      </c>
      <c r="B87" s="18">
        <v>7.89</v>
      </c>
      <c r="C87" s="18">
        <v>8.18</v>
      </c>
      <c r="D87" s="18">
        <v>18.83</v>
      </c>
      <c r="E87" s="14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7" t="s">
        <v>21</v>
      </c>
      <c r="B88" s="18">
        <v>819.66</v>
      </c>
      <c r="C88" s="18">
        <v>298.01</v>
      </c>
      <c r="D88" s="18">
        <v>730.48</v>
      </c>
      <c r="E88" s="14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7" t="s">
        <v>24</v>
      </c>
      <c r="B89" s="18">
        <v>50.21</v>
      </c>
      <c r="C89" s="18">
        <v>141.31</v>
      </c>
      <c r="D89" s="18">
        <v>131.59</v>
      </c>
      <c r="E89" s="14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2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0</v>
      </c>
      <c r="B92" s="2" t="s">
        <v>1</v>
      </c>
      <c r="C92" s="3"/>
      <c r="D92" s="3"/>
      <c r="E92" s="2" t="s">
        <v>2</v>
      </c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 t="s">
        <v>51</v>
      </c>
      <c r="B93" s="8" t="s">
        <v>5</v>
      </c>
      <c r="C93" s="8" t="s">
        <v>6</v>
      </c>
      <c r="D93" s="8" t="s">
        <v>7</v>
      </c>
      <c r="E93" s="8" t="s">
        <v>8</v>
      </c>
      <c r="F93" s="8" t="s">
        <v>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 t="s">
        <v>10</v>
      </c>
      <c r="B94" s="12">
        <v>2024.0</v>
      </c>
      <c r="C94" s="12">
        <v>2023.0</v>
      </c>
      <c r="D94" s="13">
        <v>2022.0</v>
      </c>
      <c r="E94" s="14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7" t="s">
        <v>12</v>
      </c>
      <c r="B95" s="18">
        <v>19.01</v>
      </c>
      <c r="C95" s="18">
        <v>30.53</v>
      </c>
      <c r="D95" s="18">
        <v>26.05</v>
      </c>
      <c r="E95" s="14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7" t="s">
        <v>15</v>
      </c>
      <c r="B96" s="18">
        <v>4.58</v>
      </c>
      <c r="C96" s="18">
        <v>4.73</v>
      </c>
      <c r="D96" s="18">
        <v>5.14</v>
      </c>
      <c r="E96" s="14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7" t="s">
        <v>18</v>
      </c>
      <c r="B97" s="18">
        <v>7.89</v>
      </c>
      <c r="C97" s="18">
        <v>8.18</v>
      </c>
      <c r="D97" s="18">
        <v>18.83</v>
      </c>
      <c r="E97" s="14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7" t="s">
        <v>21</v>
      </c>
      <c r="B98" s="18">
        <v>819.66</v>
      </c>
      <c r="C98" s="18">
        <v>298.01</v>
      </c>
      <c r="D98" s="18">
        <v>730.48</v>
      </c>
      <c r="E98" s="14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7" t="s">
        <v>24</v>
      </c>
      <c r="B99" s="18">
        <v>50.21</v>
      </c>
      <c r="C99" s="18">
        <v>141.31</v>
      </c>
      <c r="D99" s="18">
        <v>131.59</v>
      </c>
      <c r="E99" s="14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2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0</v>
      </c>
      <c r="B101" s="2" t="s">
        <v>1</v>
      </c>
      <c r="C101" s="3"/>
      <c r="D101" s="3"/>
      <c r="E101" s="2" t="s">
        <v>2</v>
      </c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 t="s">
        <v>52</v>
      </c>
      <c r="B102" s="8" t="s">
        <v>5</v>
      </c>
      <c r="C102" s="8" t="s">
        <v>6</v>
      </c>
      <c r="D102" s="8" t="s">
        <v>7</v>
      </c>
      <c r="E102" s="8" t="s">
        <v>8</v>
      </c>
      <c r="F102" s="8" t="s">
        <v>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 t="s">
        <v>10</v>
      </c>
      <c r="B103" s="12">
        <v>2024.0</v>
      </c>
      <c r="C103" s="12">
        <v>2023.0</v>
      </c>
      <c r="D103" s="13">
        <v>2022.0</v>
      </c>
      <c r="E103" s="14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7" t="s">
        <v>12</v>
      </c>
      <c r="B104" s="18">
        <v>129741.0</v>
      </c>
      <c r="C104" s="18">
        <v>144513.0</v>
      </c>
      <c r="D104" s="18">
        <v>110318.0</v>
      </c>
      <c r="E104" s="14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7" t="s">
        <v>15</v>
      </c>
      <c r="B105" s="18">
        <v>161985.0</v>
      </c>
      <c r="C105" s="18">
        <v>163769.0</v>
      </c>
      <c r="D105" s="18">
        <v>116137.0</v>
      </c>
      <c r="E105" s="14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7" t="s">
        <v>18</v>
      </c>
      <c r="B106" s="18">
        <v>140987.0</v>
      </c>
      <c r="C106" s="18">
        <v>129006.0</v>
      </c>
      <c r="D106" s="18">
        <v>129021.0</v>
      </c>
      <c r="E106" s="14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7" t="s">
        <v>21</v>
      </c>
      <c r="B107" s="18">
        <v>20169.0</v>
      </c>
      <c r="C107" s="18">
        <v>17646.0</v>
      </c>
      <c r="D107" s="18">
        <v>15313.0</v>
      </c>
      <c r="E107" s="14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7" t="s">
        <v>24</v>
      </c>
      <c r="B108" s="18">
        <v>60469.0</v>
      </c>
      <c r="C108" s="18">
        <v>59144.0</v>
      </c>
      <c r="D108" s="18">
        <v>51193.0</v>
      </c>
      <c r="E108" s="14"/>
      <c r="F108" s="1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0</v>
      </c>
      <c r="B110" s="2" t="s">
        <v>1</v>
      </c>
      <c r="C110" s="3"/>
      <c r="D110" s="3"/>
      <c r="E110" s="2" t="s">
        <v>2</v>
      </c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 t="s">
        <v>53</v>
      </c>
      <c r="B111" s="8" t="s">
        <v>5</v>
      </c>
      <c r="C111" s="8" t="s">
        <v>6</v>
      </c>
      <c r="D111" s="8" t="s">
        <v>7</v>
      </c>
      <c r="E111" s="8" t="s">
        <v>8</v>
      </c>
      <c r="F111" s="8" t="s">
        <v>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 t="s">
        <v>10</v>
      </c>
      <c r="B112" s="12">
        <v>2024.0</v>
      </c>
      <c r="C112" s="12">
        <v>2023.0</v>
      </c>
      <c r="D112" s="13">
        <v>2022.0</v>
      </c>
      <c r="E112" s="14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7" t="s">
        <v>12</v>
      </c>
      <c r="B113" s="18">
        <v>40525.0</v>
      </c>
      <c r="C113" s="18">
        <v>38828.0</v>
      </c>
      <c r="D113" s="18">
        <v>40305.0</v>
      </c>
      <c r="E113" s="14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7" t="s">
        <v>15</v>
      </c>
      <c r="B114" s="18">
        <v>18079.0</v>
      </c>
      <c r="C114" s="18">
        <v>17196.0</v>
      </c>
      <c r="D114" s="18">
        <v>16111.0</v>
      </c>
      <c r="E114" s="14"/>
      <c r="F114" s="1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7" t="s">
        <v>18</v>
      </c>
      <c r="B115" s="18">
        <v>4807.0</v>
      </c>
      <c r="C115" s="18">
        <v>15495.0</v>
      </c>
      <c r="D115" s="18">
        <v>33011.0</v>
      </c>
      <c r="E115" s="14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7" t="s">
        <v>21</v>
      </c>
      <c r="B116" s="18">
        <v>4020.0</v>
      </c>
      <c r="C116" s="18">
        <v>3006.0</v>
      </c>
      <c r="D116" s="18">
        <v>2348.0</v>
      </c>
      <c r="E116" s="14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7" t="s">
        <v>24</v>
      </c>
      <c r="B117" s="18">
        <v>10114.0</v>
      </c>
      <c r="C117" s="18">
        <v>9962.0</v>
      </c>
      <c r="D117" s="18">
        <v>8818.0</v>
      </c>
      <c r="E117" s="14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2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0</v>
      </c>
      <c r="B119" s="2" t="s">
        <v>1</v>
      </c>
      <c r="C119" s="3"/>
      <c r="D119" s="3"/>
      <c r="E119" s="2" t="s">
        <v>2</v>
      </c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 t="s">
        <v>54</v>
      </c>
      <c r="B120" s="8" t="s">
        <v>5</v>
      </c>
      <c r="C120" s="8" t="s">
        <v>6</v>
      </c>
      <c r="D120" s="8" t="s">
        <v>7</v>
      </c>
      <c r="E120" s="8" t="s">
        <v>8</v>
      </c>
      <c r="F120" s="8" t="s">
        <v>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 t="s">
        <v>10</v>
      </c>
      <c r="B121" s="12">
        <v>2024.0</v>
      </c>
      <c r="C121" s="12">
        <v>2023.0</v>
      </c>
      <c r="D121" s="13">
        <v>2022.0</v>
      </c>
      <c r="E121" s="14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7" t="s">
        <v>12</v>
      </c>
      <c r="B122" s="18">
        <f>B113/(3988.25+6290.14)</f>
        <v>3.942738114</v>
      </c>
      <c r="C122" s="18">
        <f>C113/(3949.93+6290.14)</f>
        <v>3.791770955</v>
      </c>
      <c r="D122" s="18">
        <f>D113/(6396.9+6290.14)</f>
        <v>3.176863949</v>
      </c>
      <c r="E122" s="14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7" t="s">
        <v>15</v>
      </c>
      <c r="B123" s="18">
        <f>B114/(146159.07+9696.67)</f>
        <v>0.1159982943</v>
      </c>
      <c r="C123" s="18">
        <f>C114/(156315.69+9696.67)</f>
        <v>0.1035826489</v>
      </c>
      <c r="D123" s="18">
        <f>D114/(147374.75+9696.67)</f>
        <v>0.1025711743</v>
      </c>
      <c r="E123" s="14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7" t="s">
        <v>18</v>
      </c>
      <c r="B124" s="18">
        <f>B115/(36715.91+1248.6)</f>
        <v>0.1266182548</v>
      </c>
      <c r="C124" s="18">
        <f>C115/(30880.89+1222.4)</f>
        <v>0.4826608114</v>
      </c>
      <c r="D124" s="18">
        <f>D115/(20290.81+1222.37)</f>
        <v>1.534454692</v>
      </c>
      <c r="E124" s="14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7" t="s">
        <v>21</v>
      </c>
      <c r="B125" s="18">
        <f t="shared" ref="B125:C125" si="1">B116/(0+730.98)</f>
        <v>5.49946647</v>
      </c>
      <c r="C125" s="18">
        <f t="shared" si="1"/>
        <v>4.112287614</v>
      </c>
      <c r="D125" s="18">
        <f>D116/(0+243.66)</f>
        <v>9.63637856</v>
      </c>
      <c r="E125" s="14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7" t="s">
        <v>24</v>
      </c>
      <c r="B126" s="18">
        <f t="shared" ref="B126:D126" si="2">B117/(0+235)</f>
        <v>43.03829787</v>
      </c>
      <c r="C126" s="18">
        <f t="shared" si="2"/>
        <v>42.39148936</v>
      </c>
      <c r="D126" s="18">
        <f t="shared" si="2"/>
        <v>37.52340426</v>
      </c>
      <c r="E126" s="14"/>
      <c r="F126" s="1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6" t="s">
        <v>55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7" t="s">
        <v>56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4">
    <mergeCell ref="I23:I28"/>
    <mergeCell ref="I31:I36"/>
    <mergeCell ref="I38:I43"/>
    <mergeCell ref="I45:I50"/>
    <mergeCell ref="B1:D1"/>
    <mergeCell ref="E1:F1"/>
    <mergeCell ref="B10:D10"/>
    <mergeCell ref="E10:F10"/>
    <mergeCell ref="I17:I20"/>
    <mergeCell ref="E19:F19"/>
    <mergeCell ref="E28:F28"/>
    <mergeCell ref="B19:D19"/>
    <mergeCell ref="B28:D28"/>
    <mergeCell ref="B37:D37"/>
    <mergeCell ref="E37:F37"/>
    <mergeCell ref="B46:D46"/>
    <mergeCell ref="E46:F46"/>
    <mergeCell ref="E55:F55"/>
    <mergeCell ref="B55:D55"/>
    <mergeCell ref="B64:D64"/>
    <mergeCell ref="E64:F64"/>
    <mergeCell ref="B73:D73"/>
    <mergeCell ref="E73:F73"/>
    <mergeCell ref="B82:D82"/>
    <mergeCell ref="E82:F82"/>
    <mergeCell ref="B119:D119"/>
    <mergeCell ref="A129:G129"/>
    <mergeCell ref="B92:D92"/>
    <mergeCell ref="E92:F92"/>
    <mergeCell ref="B101:D101"/>
    <mergeCell ref="E101:F101"/>
    <mergeCell ref="B110:D110"/>
    <mergeCell ref="E110:F110"/>
    <mergeCell ref="E119:F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4" max="4" width="17.38"/>
  </cols>
  <sheetData>
    <row r="1">
      <c r="A1" s="28" t="s">
        <v>57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9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0" t="s">
        <v>59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1" t="s">
        <v>60</v>
      </c>
      <c r="E7" s="32"/>
      <c r="F7" s="32"/>
      <c r="G7" s="3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3" t="s">
        <v>61</v>
      </c>
      <c r="B8" s="34">
        <v>2024.0</v>
      </c>
      <c r="C8" s="34">
        <v>2023.0</v>
      </c>
      <c r="D8" s="35">
        <v>2022.0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6" t="s">
        <v>62</v>
      </c>
      <c r="B9" s="37">
        <v>79101.0</v>
      </c>
      <c r="C9" s="37">
        <v>64793.0</v>
      </c>
      <c r="D9" s="37">
        <v>66597.0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8" t="s">
        <v>63</v>
      </c>
      <c r="B10" s="38">
        <v>65.62</v>
      </c>
      <c r="C10" s="38">
        <v>55.48</v>
      </c>
      <c r="D10" s="38">
        <v>50.27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8" t="s">
        <v>64</v>
      </c>
      <c r="B11" s="38">
        <v>195.6</v>
      </c>
      <c r="C11" s="38">
        <v>163.32</v>
      </c>
      <c r="D11" s="38">
        <v>164.78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8" t="s">
        <v>65</v>
      </c>
      <c r="B12" s="38" t="s">
        <v>66</v>
      </c>
      <c r="C12" s="38" t="s">
        <v>67</v>
      </c>
      <c r="D12" s="38" t="s">
        <v>68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 t="s">
        <v>69</v>
      </c>
      <c r="B13" s="37">
        <v>136350.0</v>
      </c>
      <c r="C13" s="37">
        <v>127873.0</v>
      </c>
      <c r="D13" s="37">
        <v>107164.0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8" t="s">
        <v>70</v>
      </c>
      <c r="B14" s="37">
        <v>27234.0</v>
      </c>
      <c r="C14" s="37">
        <v>23268.0</v>
      </c>
      <c r="D14" s="37">
        <v>21235.0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8" t="s">
        <v>71</v>
      </c>
      <c r="B15" s="39">
        <v>46.0</v>
      </c>
      <c r="C15" s="39">
        <v>34.0</v>
      </c>
      <c r="D15" s="39">
        <v>31.0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8" t="s">
        <v>72</v>
      </c>
      <c r="B16" s="38">
        <v>22.83</v>
      </c>
      <c r="C16" s="38">
        <v>25.74</v>
      </c>
      <c r="D16" s="38">
        <v>37.93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8" t="s">
        <v>73</v>
      </c>
      <c r="B17" s="37">
        <f>4150867464/10^7</f>
        <v>415.0867464</v>
      </c>
      <c r="C17" s="37">
        <f>4148560044/10^7</f>
        <v>414.8560044</v>
      </c>
      <c r="D17" s="37">
        <f>4206738641/10^7</f>
        <v>420.6738641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9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9" t="s">
        <v>75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0" t="s">
        <v>76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9" t="s">
        <v>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9" t="s">
        <v>78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9" t="s">
        <v>79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G1"/>
    <mergeCell ref="A7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63"/>
    <col customWidth="1" min="3" max="3" width="4.13"/>
    <col customWidth="1" min="4" max="4" width="6.63"/>
    <col customWidth="1" min="5" max="5" width="22.63"/>
    <col customWidth="1" min="6" max="6" width="4.5"/>
    <col customWidth="1" min="7" max="7" width="29.75"/>
  </cols>
  <sheetData>
    <row r="1">
      <c r="A1" s="41"/>
      <c r="B1" s="41"/>
      <c r="C1" s="4"/>
      <c r="D1" s="4"/>
      <c r="E1" s="42" t="s">
        <v>80</v>
      </c>
      <c r="F1" s="4"/>
      <c r="G1" s="43" t="s">
        <v>81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41" t="s">
        <v>82</v>
      </c>
      <c r="B2" s="41" t="s">
        <v>83</v>
      </c>
      <c r="C2" s="29"/>
      <c r="D2" s="41" t="s">
        <v>82</v>
      </c>
      <c r="E2" s="41" t="s">
        <v>84</v>
      </c>
      <c r="F2" s="4"/>
      <c r="G2" s="44" t="s">
        <v>85</v>
      </c>
      <c r="H2" s="44" t="s">
        <v>86</v>
      </c>
      <c r="I2" s="44" t="s">
        <v>87</v>
      </c>
      <c r="J2" s="44" t="s">
        <v>88</v>
      </c>
      <c r="K2" s="45" t="s">
        <v>89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9">
        <v>1.0</v>
      </c>
      <c r="B3" s="29" t="s">
        <v>12</v>
      </c>
      <c r="C3" s="4"/>
      <c r="D3" s="29">
        <v>1.0</v>
      </c>
      <c r="E3" s="29" t="s">
        <v>18</v>
      </c>
      <c r="F3" s="4"/>
      <c r="G3" s="46" t="s">
        <v>90</v>
      </c>
      <c r="H3" s="47">
        <v>1900.0</v>
      </c>
      <c r="I3" s="47">
        <v>75.0</v>
      </c>
      <c r="J3" s="47">
        <f t="shared" ref="J3:J4" si="1">H3*I3</f>
        <v>142500</v>
      </c>
      <c r="K3" s="48">
        <f t="shared" ref="K3:K13" si="2">J3/$J$13</f>
        <v>0.1425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9">
        <f t="shared" ref="A4:A7" si="3">A3+1</f>
        <v>2</v>
      </c>
      <c r="B4" s="29" t="s">
        <v>15</v>
      </c>
      <c r="C4" s="4"/>
      <c r="D4" s="4">
        <f t="shared" ref="D4:D12" si="4">D3+1</f>
        <v>2</v>
      </c>
      <c r="E4" s="29" t="s">
        <v>15</v>
      </c>
      <c r="F4" s="4"/>
      <c r="G4" s="46" t="s">
        <v>15</v>
      </c>
      <c r="H4" s="47">
        <v>320.0</v>
      </c>
      <c r="I4" s="47">
        <v>500.0</v>
      </c>
      <c r="J4" s="47">
        <f t="shared" si="1"/>
        <v>160000</v>
      </c>
      <c r="K4" s="48">
        <f t="shared" si="2"/>
        <v>0.16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>
        <f t="shared" si="3"/>
        <v>3</v>
      </c>
      <c r="B5" s="29" t="s">
        <v>18</v>
      </c>
      <c r="C5" s="4"/>
      <c r="D5" s="4">
        <f t="shared" si="4"/>
        <v>3</v>
      </c>
      <c r="E5" s="29" t="s">
        <v>24</v>
      </c>
      <c r="F5" s="4"/>
      <c r="G5" s="38" t="s">
        <v>24</v>
      </c>
      <c r="H5" s="49"/>
      <c r="I5" s="49"/>
      <c r="J5" s="49"/>
      <c r="K5" s="48">
        <f t="shared" si="2"/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9">
        <f t="shared" si="3"/>
        <v>4</v>
      </c>
      <c r="B6" s="29" t="s">
        <v>21</v>
      </c>
      <c r="C6" s="4"/>
      <c r="D6" s="4">
        <f t="shared" si="4"/>
        <v>4</v>
      </c>
      <c r="E6" s="29" t="s">
        <v>90</v>
      </c>
      <c r="F6" s="4"/>
      <c r="G6" s="38" t="s">
        <v>90</v>
      </c>
      <c r="H6" s="49"/>
      <c r="I6" s="49"/>
      <c r="J6" s="49"/>
      <c r="K6" s="48">
        <f t="shared" si="2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9">
        <f t="shared" si="3"/>
        <v>5</v>
      </c>
      <c r="B7" s="29" t="s">
        <v>24</v>
      </c>
      <c r="C7" s="4"/>
      <c r="D7" s="4">
        <f t="shared" si="4"/>
        <v>5</v>
      </c>
      <c r="E7" s="29" t="s">
        <v>91</v>
      </c>
      <c r="F7" s="4"/>
      <c r="G7" s="38" t="s">
        <v>91</v>
      </c>
      <c r="H7" s="49"/>
      <c r="I7" s="49"/>
      <c r="J7" s="49"/>
      <c r="K7" s="48">
        <f t="shared" si="2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>
        <f t="shared" si="4"/>
        <v>6</v>
      </c>
      <c r="E8" s="29" t="s">
        <v>92</v>
      </c>
      <c r="F8" s="4"/>
      <c r="G8" s="38" t="s">
        <v>92</v>
      </c>
      <c r="H8" s="49"/>
      <c r="I8" s="49"/>
      <c r="J8" s="49"/>
      <c r="K8" s="48">
        <f t="shared" si="2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>
        <f t="shared" si="4"/>
        <v>7</v>
      </c>
      <c r="E9" s="29" t="s">
        <v>93</v>
      </c>
      <c r="F9" s="4"/>
      <c r="G9" s="38" t="s">
        <v>93</v>
      </c>
      <c r="H9" s="49"/>
      <c r="I9" s="49"/>
      <c r="J9" s="49"/>
      <c r="K9" s="48">
        <f t="shared" si="2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>
        <f t="shared" si="4"/>
        <v>8</v>
      </c>
      <c r="E10" s="29" t="s">
        <v>94</v>
      </c>
      <c r="F10" s="4"/>
      <c r="G10" s="38" t="s">
        <v>94</v>
      </c>
      <c r="H10" s="49"/>
      <c r="I10" s="49"/>
      <c r="J10" s="49"/>
      <c r="K10" s="48">
        <f t="shared" si="2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>
        <f t="shared" si="4"/>
        <v>9</v>
      </c>
      <c r="E11" s="29" t="s">
        <v>95</v>
      </c>
      <c r="F11" s="4"/>
      <c r="G11" s="38" t="s">
        <v>95</v>
      </c>
      <c r="H11" s="49"/>
      <c r="I11" s="49"/>
      <c r="J11" s="49"/>
      <c r="K11" s="48">
        <f t="shared" si="2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>
        <f t="shared" si="4"/>
        <v>10</v>
      </c>
      <c r="E12" s="29" t="s">
        <v>96</v>
      </c>
      <c r="F12" s="4"/>
      <c r="G12" s="38" t="s">
        <v>96</v>
      </c>
      <c r="H12" s="49"/>
      <c r="I12" s="49"/>
      <c r="J12" s="49"/>
      <c r="K12" s="48">
        <f t="shared" si="2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50" t="s">
        <v>97</v>
      </c>
      <c r="H13" s="3"/>
      <c r="I13" s="51"/>
      <c r="J13" s="52">
        <f>1000000</f>
        <v>1000000</v>
      </c>
      <c r="K13" s="53">
        <f t="shared" si="2"/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2">
    <mergeCell ref="G1:K1"/>
    <mergeCell ref="G13:I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54" t="s">
        <v>98</v>
      </c>
      <c r="B1" s="55" t="s">
        <v>99</v>
      </c>
      <c r="C1" s="55" t="s">
        <v>100</v>
      </c>
      <c r="D1" s="55" t="s">
        <v>101</v>
      </c>
      <c r="E1" s="55" t="s">
        <v>102</v>
      </c>
      <c r="F1" s="55" t="s">
        <v>103</v>
      </c>
      <c r="G1" s="55" t="s">
        <v>104</v>
      </c>
      <c r="H1" s="55" t="s">
        <v>63</v>
      </c>
      <c r="I1" s="55" t="s">
        <v>64</v>
      </c>
      <c r="J1" s="55" t="s">
        <v>105</v>
      </c>
      <c r="K1" s="55" t="s">
        <v>106</v>
      </c>
      <c r="L1" s="56" t="s">
        <v>107</v>
      </c>
      <c r="M1" s="57" t="s">
        <v>108</v>
      </c>
    </row>
    <row r="2">
      <c r="A2" s="58" t="s">
        <v>12</v>
      </c>
      <c r="B2" s="59">
        <v>4.45</v>
      </c>
      <c r="C2" s="59">
        <v>0.44</v>
      </c>
      <c r="D2" s="59">
        <v>9.26</v>
      </c>
      <c r="E2" s="60">
        <v>95106.91</v>
      </c>
      <c r="F2" s="58" t="s">
        <v>109</v>
      </c>
      <c r="G2" s="59" t="s">
        <v>110</v>
      </c>
      <c r="H2" s="59">
        <v>16.19</v>
      </c>
      <c r="I2" s="59">
        <v>161.36</v>
      </c>
      <c r="J2" s="59">
        <v>178.95</v>
      </c>
      <c r="K2" s="59">
        <v>51.8</v>
      </c>
      <c r="L2" s="59">
        <v>1.09</v>
      </c>
      <c r="M2" s="61">
        <v>215036.0</v>
      </c>
    </row>
    <row r="3">
      <c r="A3" s="58" t="s">
        <v>15</v>
      </c>
      <c r="B3" s="59">
        <v>6.28</v>
      </c>
      <c r="C3" s="59">
        <v>0.81</v>
      </c>
      <c r="D3" s="59">
        <v>6.06</v>
      </c>
      <c r="E3" s="60">
        <v>89496.27</v>
      </c>
      <c r="F3" s="58" t="s">
        <v>111</v>
      </c>
      <c r="G3" s="60">
        <v>97513.61</v>
      </c>
      <c r="H3" s="59">
        <v>13.35</v>
      </c>
      <c r="I3" s="59">
        <v>108.55</v>
      </c>
      <c r="J3" s="59">
        <v>145.85</v>
      </c>
      <c r="K3" s="59">
        <v>74.0</v>
      </c>
      <c r="L3" s="59">
        <v>0.63</v>
      </c>
      <c r="M3" s="61">
        <v>490220.0</v>
      </c>
    </row>
    <row r="4">
      <c r="A4" s="58" t="s">
        <v>18</v>
      </c>
      <c r="B4" s="59">
        <v>5.05</v>
      </c>
      <c r="C4" s="59">
        <v>0.45</v>
      </c>
      <c r="D4" s="59">
        <v>4.71</v>
      </c>
      <c r="E4" s="60">
        <v>31315.68</v>
      </c>
      <c r="F4" s="58" t="s">
        <v>112</v>
      </c>
      <c r="G4" s="60">
        <v>69308.59</v>
      </c>
      <c r="H4" s="59">
        <v>85.86</v>
      </c>
      <c r="I4" s="59">
        <v>625.26</v>
      </c>
      <c r="J4" s="59">
        <v>526.8</v>
      </c>
      <c r="K4" s="59">
        <v>250.9</v>
      </c>
      <c r="L4" s="59">
        <v>1.18</v>
      </c>
      <c r="M4" s="61">
        <v>15198.0</v>
      </c>
    </row>
    <row r="5">
      <c r="A5" s="58" t="s">
        <v>21</v>
      </c>
      <c r="B5" s="59">
        <v>11.09</v>
      </c>
      <c r="C5" s="59">
        <v>1.66</v>
      </c>
      <c r="D5" s="59">
        <v>5.43</v>
      </c>
      <c r="E5" s="60">
        <v>15265.25</v>
      </c>
      <c r="F5" s="58" t="s">
        <v>113</v>
      </c>
      <c r="G5" s="60">
        <v>8775.25</v>
      </c>
      <c r="H5" s="59">
        <v>5.86</v>
      </c>
      <c r="I5" s="59">
        <v>37.01</v>
      </c>
      <c r="J5" s="59">
        <v>122.15</v>
      </c>
      <c r="K5" s="59">
        <v>56.1</v>
      </c>
      <c r="L5" s="59">
        <v>0.9</v>
      </c>
      <c r="M5" s="61">
        <v>184422.0</v>
      </c>
    </row>
    <row r="6">
      <c r="A6" s="58" t="s">
        <v>24</v>
      </c>
      <c r="B6" s="59">
        <v>72.85</v>
      </c>
      <c r="C6" s="59">
        <v>60.96</v>
      </c>
      <c r="D6" s="59">
        <v>1.2</v>
      </c>
      <c r="E6" s="59" t="s">
        <v>114</v>
      </c>
      <c r="F6" s="58" t="s">
        <v>115</v>
      </c>
      <c r="G6" s="62">
        <v>7815.0</v>
      </c>
      <c r="H6" s="59">
        <v>28.68</v>
      </c>
      <c r="I6" s="59">
        <v>34.26</v>
      </c>
      <c r="J6" s="59">
        <v>2614.0</v>
      </c>
      <c r="K6" s="59">
        <v>1657.0</v>
      </c>
      <c r="L6" s="59">
        <v>0.7</v>
      </c>
      <c r="M6" s="61">
        <v>5380.0</v>
      </c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</row>
    <row r="8">
      <c r="A8" s="64" t="s">
        <v>116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</sheetData>
  <mergeCells count="1">
    <mergeCell ref="A8:B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9" max="9" width="48.38"/>
  </cols>
  <sheetData>
    <row r="1">
      <c r="A1" s="65" t="s">
        <v>0</v>
      </c>
      <c r="B1" s="66" t="s">
        <v>5</v>
      </c>
      <c r="C1" s="66" t="s">
        <v>6</v>
      </c>
      <c r="D1" s="66" t="s">
        <v>7</v>
      </c>
      <c r="E1" s="66" t="s">
        <v>8</v>
      </c>
      <c r="F1" s="66" t="s">
        <v>9</v>
      </c>
      <c r="G1" s="4"/>
      <c r="H1" s="5"/>
      <c r="I1" s="6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7" t="s">
        <v>10</v>
      </c>
      <c r="B2" s="68">
        <v>2024.0</v>
      </c>
      <c r="C2" s="68">
        <v>2023.0</v>
      </c>
      <c r="D2" s="69">
        <v>2022.0</v>
      </c>
      <c r="E2" s="69">
        <v>2021.0</v>
      </c>
      <c r="F2" s="69">
        <v>2020.0</v>
      </c>
      <c r="G2" s="4"/>
      <c r="H2" s="9">
        <v>1.0</v>
      </c>
      <c r="I2" s="10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0" t="s">
        <v>117</v>
      </c>
      <c r="B3" s="71"/>
      <c r="C3" s="71"/>
      <c r="D3" s="71"/>
      <c r="E3" s="71"/>
      <c r="F3" s="71"/>
      <c r="G3" s="4"/>
      <c r="H3" s="15" t="s">
        <v>11</v>
      </c>
      <c r="I3" s="16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0" t="s">
        <v>118</v>
      </c>
      <c r="B4" s="71"/>
      <c r="C4" s="71"/>
      <c r="D4" s="71"/>
      <c r="E4" s="71"/>
      <c r="F4" s="71"/>
      <c r="G4" s="4"/>
      <c r="H4" s="15" t="s">
        <v>13</v>
      </c>
      <c r="I4" s="16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70" t="s">
        <v>119</v>
      </c>
      <c r="B5" s="71"/>
      <c r="C5" s="71"/>
      <c r="D5" s="71"/>
      <c r="E5" s="71"/>
      <c r="F5" s="71"/>
      <c r="G5" s="4"/>
      <c r="H5" s="15" t="s">
        <v>16</v>
      </c>
      <c r="I5" s="16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70" t="s">
        <v>120</v>
      </c>
      <c r="B6" s="71"/>
      <c r="C6" s="71"/>
      <c r="D6" s="71"/>
      <c r="E6" s="71"/>
      <c r="F6" s="71"/>
      <c r="G6" s="4"/>
      <c r="H6" s="15" t="s">
        <v>19</v>
      </c>
      <c r="I6" s="16" t="s">
        <v>20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70" t="s">
        <v>121</v>
      </c>
      <c r="B7" s="71"/>
      <c r="C7" s="71"/>
      <c r="D7" s="71"/>
      <c r="E7" s="71"/>
      <c r="F7" s="71"/>
      <c r="G7" s="4"/>
      <c r="H7" s="15" t="s">
        <v>22</v>
      </c>
      <c r="I7" s="16" t="s">
        <v>23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2" t="s">
        <v>122</v>
      </c>
      <c r="B8" s="71"/>
      <c r="C8" s="71"/>
      <c r="D8" s="71"/>
      <c r="E8" s="71"/>
      <c r="F8" s="71"/>
      <c r="G8" s="4"/>
      <c r="H8" s="15" t="s">
        <v>25</v>
      </c>
      <c r="I8" s="16" t="s">
        <v>26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3"/>
      <c r="B9" s="73"/>
      <c r="C9" s="73"/>
      <c r="D9" s="73"/>
      <c r="E9" s="73"/>
      <c r="F9" s="73"/>
      <c r="G9" s="4"/>
      <c r="H9" s="15" t="s">
        <v>27</v>
      </c>
      <c r="I9" s="16" t="s">
        <v>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4" t="s">
        <v>123</v>
      </c>
      <c r="B10" s="75" t="s">
        <v>5</v>
      </c>
      <c r="C10" s="75" t="s">
        <v>6</v>
      </c>
      <c r="D10" s="75" t="s">
        <v>7</v>
      </c>
      <c r="E10" s="75" t="s">
        <v>8</v>
      </c>
      <c r="F10" s="75" t="s">
        <v>9</v>
      </c>
      <c r="G10" s="4"/>
      <c r="H10" s="15" t="s">
        <v>29</v>
      </c>
      <c r="I10" s="16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6" t="s">
        <v>69</v>
      </c>
      <c r="B11" s="77"/>
      <c r="C11" s="77"/>
      <c r="D11" s="77"/>
      <c r="E11" s="77"/>
      <c r="F11" s="77"/>
      <c r="G11" s="4"/>
      <c r="H11" s="9">
        <v>2.0</v>
      </c>
      <c r="I11" s="10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6" t="s">
        <v>124</v>
      </c>
      <c r="B12" s="77"/>
      <c r="C12" s="77"/>
      <c r="D12" s="77"/>
      <c r="E12" s="77"/>
      <c r="F12" s="77"/>
      <c r="G12" s="4"/>
      <c r="H12" s="15" t="s">
        <v>11</v>
      </c>
      <c r="I12" s="16" t="s">
        <v>32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6" t="s">
        <v>71</v>
      </c>
      <c r="B13" s="77"/>
      <c r="C13" s="77"/>
      <c r="D13" s="77"/>
      <c r="E13" s="77"/>
      <c r="F13" s="77"/>
      <c r="G13" s="4"/>
      <c r="H13" s="15" t="s">
        <v>13</v>
      </c>
      <c r="I13" s="16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6" t="s">
        <v>72</v>
      </c>
      <c r="B14" s="77"/>
      <c r="C14" s="77"/>
      <c r="D14" s="77"/>
      <c r="E14" s="77"/>
      <c r="F14" s="7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6" t="s">
        <v>125</v>
      </c>
      <c r="B15" s="77"/>
      <c r="C15" s="77"/>
      <c r="D15" s="77"/>
      <c r="E15" s="77"/>
      <c r="F15" s="77"/>
      <c r="G15" s="4"/>
      <c r="H15" s="9">
        <v>2.0</v>
      </c>
      <c r="I15" s="6" t="s">
        <v>126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76" t="s">
        <v>127</v>
      </c>
      <c r="B16" s="77"/>
      <c r="C16" s="77"/>
      <c r="D16" s="77"/>
      <c r="E16" s="77"/>
      <c r="F16" s="77"/>
      <c r="G16" s="4"/>
      <c r="H16" s="15" t="s">
        <v>11</v>
      </c>
      <c r="I16" s="16" t="s">
        <v>128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76" t="s">
        <v>63</v>
      </c>
      <c r="B17" s="77"/>
      <c r="C17" s="77"/>
      <c r="D17" s="77"/>
      <c r="E17" s="77"/>
      <c r="F17" s="77"/>
      <c r="G17" s="4"/>
      <c r="H17" s="15" t="s">
        <v>13</v>
      </c>
      <c r="I17" s="16" t="s">
        <v>129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76" t="s">
        <v>64</v>
      </c>
      <c r="B18" s="77"/>
      <c r="C18" s="77"/>
      <c r="D18" s="77"/>
      <c r="E18" s="77"/>
      <c r="F18" s="77"/>
      <c r="G18" s="4"/>
      <c r="H18" s="15" t="s">
        <v>16</v>
      </c>
      <c r="I18" s="16" t="s">
        <v>130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76" t="s">
        <v>131</v>
      </c>
      <c r="B19" s="77"/>
      <c r="C19" s="77"/>
      <c r="D19" s="73"/>
      <c r="E19" s="78"/>
      <c r="F19" s="79"/>
      <c r="G19" s="4"/>
      <c r="H19" s="15" t="s">
        <v>19</v>
      </c>
      <c r="I19" s="16" t="s">
        <v>132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15" t="s">
        <v>22</v>
      </c>
      <c r="I20" s="16" t="s">
        <v>133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15" t="s">
        <v>25</v>
      </c>
      <c r="I21" s="16" t="s">
        <v>134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1">
    <mergeCell ref="D19:F19"/>
  </mergeCells>
  <drawing r:id="rId1"/>
</worksheet>
</file>